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arrientos Enterprise\Banquito - Sumac Ayllu\"/>
    </mc:Choice>
  </mc:AlternateContent>
  <xr:revisionPtr revIDLastSave="0" documentId="13_ncr:1_{B757020D-C354-4AE5-887A-A606736F645B}" xr6:coauthVersionLast="47" xr6:coauthVersionMax="47" xr10:uidLastSave="{00000000-0000-0000-0000-000000000000}"/>
  <bookViews>
    <workbookView xWindow="-120" yWindow="-120" windowWidth="29040" windowHeight="15720" activeTab="1" xr2:uid="{1B67C83D-BE7B-4E28-AB7C-A9083F7D9D94}"/>
  </bookViews>
  <sheets>
    <sheet name="SOCIOS" sheetId="1" r:id="rId1"/>
    <sheet name="RESUMEN " sheetId="3" r:id="rId2"/>
    <sheet name="APORTES 2026" sheetId="4" r:id="rId3"/>
    <sheet name="APORTES 2025" sheetId="2" r:id="rId4"/>
    <sheet name="REUNION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3" l="1"/>
  <c r="G19" i="3"/>
  <c r="E20" i="3"/>
  <c r="E19" i="3"/>
  <c r="P29" i="4"/>
  <c r="J17" i="3"/>
  <c r="J29" i="4"/>
  <c r="K16" i="3"/>
  <c r="H16" i="3"/>
  <c r="D26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3" i="5"/>
  <c r="F28" i="4"/>
  <c r="E15" i="3"/>
  <c r="E14" i="3"/>
  <c r="G14" i="3" s="1"/>
  <c r="H9" i="3"/>
  <c r="E28" i="4"/>
  <c r="G28" i="4"/>
  <c r="F29" i="4" s="1"/>
  <c r="H28" i="4"/>
  <c r="E16" i="3" s="1"/>
  <c r="I28" i="4"/>
  <c r="J28" i="4"/>
  <c r="E17" i="3" s="1"/>
  <c r="K28" i="4"/>
  <c r="L28" i="4"/>
  <c r="L29" i="4" s="1"/>
  <c r="E18" i="3" s="1"/>
  <c r="G18" i="3" s="1"/>
  <c r="J18" i="3" s="1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D28" i="4"/>
  <c r="D29" i="4" s="1"/>
  <c r="E9" i="3"/>
  <c r="G9" i="3" s="1"/>
  <c r="E8" i="3"/>
  <c r="G8" i="3" s="1"/>
  <c r="E7" i="3"/>
  <c r="G7" i="3" s="1"/>
  <c r="E6" i="3"/>
  <c r="G6" i="3" s="1"/>
  <c r="E5" i="3"/>
  <c r="G5" i="3" s="1"/>
  <c r="N27" i="2"/>
  <c r="E13" i="3" s="1"/>
  <c r="G13" i="3" s="1"/>
  <c r="M27" i="2"/>
  <c r="E12" i="3" s="1"/>
  <c r="G12" i="3" s="1"/>
  <c r="L27" i="2"/>
  <c r="E11" i="3" s="1"/>
  <c r="G11" i="3" s="1"/>
  <c r="K27" i="2"/>
  <c r="J27" i="2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3" i="4"/>
  <c r="B17" i="4"/>
  <c r="B18" i="4"/>
  <c r="B19" i="4"/>
  <c r="B20" i="4"/>
  <c r="B16" i="2"/>
  <c r="B17" i="2"/>
  <c r="C26" i="4"/>
  <c r="C27" i="4"/>
  <c r="D27" i="2"/>
  <c r="E27" i="2"/>
  <c r="E4" i="3" s="1"/>
  <c r="G4" i="3" s="1"/>
  <c r="F27" i="2"/>
  <c r="G27" i="2"/>
  <c r="H27" i="2"/>
  <c r="I27" i="2"/>
  <c r="C27" i="2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A20" i="4"/>
  <c r="A19" i="4"/>
  <c r="A18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8" i="2"/>
  <c r="B19" i="2"/>
  <c r="B20" i="2"/>
  <c r="B21" i="2"/>
  <c r="B22" i="2"/>
  <c r="B23" i="2"/>
  <c r="B24" i="2"/>
  <c r="B25" i="2"/>
  <c r="B26" i="2"/>
  <c r="B2" i="2"/>
  <c r="O3" i="2"/>
  <c r="C4" i="4" s="1"/>
  <c r="O4" i="2"/>
  <c r="C5" i="4" s="1"/>
  <c r="O5" i="2"/>
  <c r="C6" i="4" s="1"/>
  <c r="O6" i="2"/>
  <c r="C7" i="4" s="1"/>
  <c r="O7" i="2"/>
  <c r="C8" i="4" s="1"/>
  <c r="O8" i="2"/>
  <c r="C9" i="4" s="1"/>
  <c r="O9" i="2"/>
  <c r="C10" i="4" s="1"/>
  <c r="O10" i="2"/>
  <c r="C11" i="4" s="1"/>
  <c r="O11" i="2"/>
  <c r="C12" i="4" s="1"/>
  <c r="O12" i="2"/>
  <c r="C13" i="4" s="1"/>
  <c r="O13" i="2"/>
  <c r="C14" i="4" s="1"/>
  <c r="O14" i="2"/>
  <c r="C15" i="4" s="1"/>
  <c r="O15" i="2"/>
  <c r="C16" i="4" s="1"/>
  <c r="O16" i="2"/>
  <c r="C17" i="4" s="1"/>
  <c r="O17" i="2"/>
  <c r="C18" i="4" s="1"/>
  <c r="O18" i="2"/>
  <c r="C19" i="4" s="1"/>
  <c r="O19" i="2"/>
  <c r="C20" i="4" s="1"/>
  <c r="O20" i="2"/>
  <c r="C21" i="4" s="1"/>
  <c r="O21" i="2"/>
  <c r="C22" i="4" s="1"/>
  <c r="O22" i="2"/>
  <c r="C23" i="4" s="1"/>
  <c r="O23" i="2"/>
  <c r="C24" i="4" s="1"/>
  <c r="O24" i="2"/>
  <c r="C25" i="4" s="1"/>
  <c r="O25" i="2"/>
  <c r="O26" i="2"/>
  <c r="O2" i="2"/>
  <c r="A24" i="2"/>
  <c r="A25" i="2"/>
  <c r="A26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" i="2"/>
  <c r="N29" i="4" l="1"/>
  <c r="G17" i="3"/>
  <c r="G16" i="3"/>
  <c r="H29" i="4"/>
  <c r="G15" i="3"/>
  <c r="E10" i="3"/>
  <c r="G10" i="3" s="1"/>
  <c r="E3" i="3"/>
  <c r="C3" i="4"/>
  <c r="AC3" i="4" s="1"/>
  <c r="F2" i="1" s="1"/>
  <c r="AB28" i="4"/>
  <c r="AC19" i="4"/>
  <c r="AC11" i="4"/>
  <c r="F10" i="1" s="1"/>
  <c r="AC25" i="4"/>
  <c r="AC24" i="4"/>
  <c r="AC27" i="4"/>
  <c r="AC5" i="4"/>
  <c r="F4" i="1" s="1"/>
  <c r="AC14" i="4"/>
  <c r="F13" i="1" s="1"/>
  <c r="AC26" i="4"/>
  <c r="AC15" i="4"/>
  <c r="F14" i="1" s="1"/>
  <c r="AC20" i="4"/>
  <c r="AC17" i="4"/>
  <c r="F16" i="1" s="1"/>
  <c r="AC23" i="4"/>
  <c r="AC22" i="4"/>
  <c r="AC10" i="4"/>
  <c r="F9" i="1" s="1"/>
  <c r="AC9" i="4"/>
  <c r="F8" i="1" s="1"/>
  <c r="AC21" i="4"/>
  <c r="AC18" i="4"/>
  <c r="F17" i="1" s="1"/>
  <c r="AC6" i="4"/>
  <c r="F5" i="1" s="1"/>
  <c r="AC7" i="4"/>
  <c r="F6" i="1" s="1"/>
  <c r="AC4" i="4"/>
  <c r="F3" i="1" s="1"/>
  <c r="AC8" i="4"/>
  <c r="F7" i="1" s="1"/>
  <c r="AC12" i="4"/>
  <c r="F11" i="1" s="1"/>
  <c r="AC16" i="4"/>
  <c r="F15" i="1" s="1"/>
  <c r="AC13" i="4"/>
  <c r="F12" i="1" s="1"/>
  <c r="F3" i="3" l="1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G3" i="3"/>
  <c r="J3" i="3" s="1"/>
  <c r="J4" i="3" s="1"/>
  <c r="J5" i="3" s="1"/>
  <c r="J6" i="3" s="1"/>
  <c r="J7" i="3" s="1"/>
  <c r="J8" i="3" s="1"/>
  <c r="J9" i="3" s="1"/>
  <c r="J10" i="3" s="1"/>
  <c r="J11" i="3" s="1"/>
  <c r="J12" i="3" s="1"/>
  <c r="J13" i="3" s="1"/>
  <c r="AC28" i="4"/>
  <c r="J14" i="3" l="1"/>
  <c r="J15" i="3" s="1"/>
  <c r="J16" i="3" s="1"/>
  <c r="K13" i="3"/>
  <c r="J19" i="3" l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</calcChain>
</file>

<file path=xl/sharedStrings.xml><?xml version="1.0" encoding="utf-8"?>
<sst xmlns="http://schemas.openxmlformats.org/spreadsheetml/2006/main" count="198" uniqueCount="77">
  <si>
    <t>Socio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</si>
  <si>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</si>
  <si>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</si>
  <si>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</si>
  <si>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</si>
  <si>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</si>
  <si>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</si>
  <si>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</si>
  <si>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</si>
  <si>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</si>
  <si>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</si>
  <si>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</si>
  <si>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</si>
  <si>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N°</t>
  </si>
  <si>
    <t>Filomena Valdez Curi</t>
  </si>
  <si>
    <t>Juan Carlos Cuba Sulca</t>
  </si>
  <si>
    <t>Yeli Melusca Algoner Mejia</t>
  </si>
  <si>
    <t>Michael Fernández Valdez</t>
  </si>
  <si>
    <t>Sayda Quispe Curi</t>
  </si>
  <si>
    <t>Mariela Fernández Valdez</t>
  </si>
  <si>
    <t>Efrain Infante Mejia</t>
  </si>
  <si>
    <t>Estefani Corali Infante Fernández</t>
  </si>
  <si>
    <t>Yésica Godoy Mallqui</t>
  </si>
  <si>
    <t>Paul Jimmy Auccapuclla Barrientos</t>
  </si>
  <si>
    <t>Saul Godoy Mallqui</t>
  </si>
  <si>
    <t>Julio Cesar Fernandez Valdez</t>
  </si>
  <si>
    <t>Fecha ingreso</t>
  </si>
  <si>
    <t>Nombre completo</t>
  </si>
  <si>
    <t>DNI</t>
  </si>
  <si>
    <t>Aporte mesual</t>
  </si>
  <si>
    <t>estado</t>
  </si>
  <si>
    <t>Activo</t>
  </si>
  <si>
    <t>Total</t>
  </si>
  <si>
    <t>Maribel Cayllahua Sulcacondor</t>
  </si>
  <si>
    <t>Jose Luis Fernandez Pariona</t>
  </si>
  <si>
    <t>Brith Zarella Roca Godoy</t>
  </si>
  <si>
    <t>Saldo inicial</t>
  </si>
  <si>
    <t>Total 2026</t>
  </si>
  <si>
    <t>Total 2025+2026</t>
  </si>
  <si>
    <t>Banquito Sumac Ayllu</t>
  </si>
  <si>
    <t>Aporte</t>
  </si>
  <si>
    <t>Mora</t>
  </si>
  <si>
    <t>Saldo</t>
  </si>
  <si>
    <t>Movimiento</t>
  </si>
  <si>
    <t>Banquito</t>
  </si>
  <si>
    <t>Entrada</t>
  </si>
  <si>
    <t>Salida</t>
  </si>
  <si>
    <t>Mes</t>
  </si>
  <si>
    <t>Febrero</t>
  </si>
  <si>
    <t>Marzo</t>
  </si>
  <si>
    <t>Abril</t>
  </si>
  <si>
    <t>Mayo</t>
  </si>
  <si>
    <t>Junio</t>
  </si>
  <si>
    <t>Julio</t>
  </si>
  <si>
    <t>Septiembre</t>
  </si>
  <si>
    <t>Agosto</t>
  </si>
  <si>
    <t>Octubre</t>
  </si>
  <si>
    <t>Noviembre</t>
  </si>
  <si>
    <t>Diciembre</t>
  </si>
  <si>
    <t>Año</t>
  </si>
  <si>
    <t>Enero</t>
  </si>
  <si>
    <t>Setiembre</t>
  </si>
  <si>
    <t>Ingreso total del mes</t>
  </si>
  <si>
    <t>aporte</t>
  </si>
  <si>
    <t xml:space="preserve">Aporte </t>
  </si>
  <si>
    <t xml:space="preserve">Acumulado </t>
  </si>
  <si>
    <t>Inversion</t>
  </si>
  <si>
    <t>Socios</t>
  </si>
  <si>
    <t>Total movimiento</t>
  </si>
  <si>
    <t>SOCIO</t>
  </si>
  <si>
    <t>REUNION</t>
  </si>
  <si>
    <t>Reunion 3/7/26</t>
  </si>
  <si>
    <t>F</t>
  </si>
  <si>
    <t>P</t>
  </si>
  <si>
    <t>Permiso</t>
  </si>
  <si>
    <t>T</t>
  </si>
  <si>
    <t>Jeferson Mendoza Quispe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</si>
</sst>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S/&quot;\ * #,##0.00_-;\-&quot;S/&quot;\ * #,##0.00_-;_-&quot;S/&quot;\ * &quot;-&quot;??_-;_-@_-"/>
    <numFmt numFmtId="165" formatCode="000"/>
    <numFmt numFmtId="166" formatCode="_-[$S/-280A]\ * #,##0.00_-;\-[$S/-280A]\ * #,##0.00_-;_-[$S/-280A]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Open Sans"/>
      <family val="2"/>
    </font>
    <font>
      <b/>
      <sz val="11"/>
      <color theme="1"/>
      <name val="Open Sans"/>
      <family val="2"/>
    </font>
    <font>
      <sz val="10"/>
      <color theme="1"/>
      <name val="Open Sans"/>
      <family val="2"/>
    </font>
    <font>
      <b/>
      <sz val="10"/>
      <color theme="1"/>
      <name val="Open Sans"/>
      <family val="2"/>
    </font>
    <font>
      <sz val="11"/>
      <color rgb="FFFF0000"/>
      <name val="Open Sans"/>
      <family val="2"/>
    </font>
    <font>
      <sz val="11"/>
      <name val="Open Sans"/>
      <family val="2"/>
    </font>
    <font>
      <b/>
      <sz val="11"/>
      <name val="Open Sans"/>
      <family val="2"/>
    </font>
    <font>
      <sz val="8"/>
      <name val="Calibri"/>
      <family val="2"/>
      <scheme val="minor"/>
    </font>
    <font>
      <sz val="10"/>
      <color theme="0"/>
      <name val="Open Sans"/>
      <family val="2"/>
    </font>
    <font>
      <b/>
      <sz val="10"/>
      <color theme="0"/>
      <name val="Open Sans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4" fillId="0" borderId="0" xfId="0" applyFont="1"/>
    <xf numFmtId="165" fontId="4" fillId="0" borderId="0" xfId="0" applyNumberFormat="1" applyFont="1"/>
    <xf numFmtId="165" fontId="4" fillId="0" borderId="1" xfId="0" applyNumberFormat="1" applyFont="1" applyBorder="1"/>
    <xf numFmtId="14" fontId="4" fillId="0" borderId="1" xfId="0" applyNumberFormat="1" applyFont="1" applyBorder="1"/>
    <xf numFmtId="0" fontId="4" fillId="0" borderId="1" xfId="0" applyFont="1" applyBorder="1"/>
    <xf numFmtId="165" fontId="5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165" fontId="2" fillId="0" borderId="0" xfId="0" applyNumberFormat="1" applyFont="1"/>
    <xf numFmtId="164" fontId="3" fillId="0" borderId="0" xfId="1" applyFont="1"/>
    <xf numFmtId="164" fontId="2" fillId="0" borderId="0" xfId="1" applyFont="1"/>
    <xf numFmtId="0" fontId="3" fillId="0" borderId="1" xfId="0" applyFont="1" applyBorder="1" applyAlignment="1">
      <alignment horizontal="center" vertical="center" wrapText="1"/>
    </xf>
    <xf numFmtId="164" fontId="3" fillId="0" borderId="1" xfId="1" applyFont="1" applyBorder="1"/>
    <xf numFmtId="165" fontId="2" fillId="0" borderId="1" xfId="0" applyNumberFormat="1" applyFont="1" applyBorder="1"/>
    <xf numFmtId="0" fontId="2" fillId="0" borderId="1" xfId="0" applyFont="1" applyBorder="1"/>
    <xf numFmtId="164" fontId="2" fillId="0" borderId="1" xfId="1" applyFont="1" applyBorder="1"/>
    <xf numFmtId="165" fontId="3" fillId="0" borderId="1" xfId="0" applyNumberFormat="1" applyFont="1" applyBorder="1" applyAlignment="1">
      <alignment horizontal="center"/>
    </xf>
    <xf numFmtId="164" fontId="3" fillId="0" borderId="1" xfId="1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4" fillId="0" borderId="2" xfId="0" applyNumberFormat="1" applyFont="1" applyBorder="1"/>
    <xf numFmtId="0" fontId="4" fillId="0" borderId="2" xfId="0" applyFont="1" applyBorder="1"/>
    <xf numFmtId="14" fontId="4" fillId="0" borderId="2" xfId="0" applyNumberFormat="1" applyFont="1" applyBorder="1"/>
    <xf numFmtId="164" fontId="2" fillId="2" borderId="1" xfId="1" applyFont="1" applyFill="1" applyBorder="1"/>
    <xf numFmtId="164" fontId="2" fillId="0" borderId="0" xfId="0" applyNumberFormat="1" applyFont="1"/>
    <xf numFmtId="0" fontId="3" fillId="0" borderId="0" xfId="0" applyFont="1"/>
    <xf numFmtId="0" fontId="2" fillId="0" borderId="3" xfId="0" applyFont="1" applyBorder="1"/>
    <xf numFmtId="164" fontId="2" fillId="0" borderId="0" xfId="1" applyFont="1" applyFill="1"/>
    <xf numFmtId="164" fontId="7" fillId="0" borderId="0" xfId="1" applyFont="1" applyFill="1"/>
    <xf numFmtId="165" fontId="3" fillId="0" borderId="0" xfId="0" applyNumberFormat="1" applyFont="1"/>
    <xf numFmtId="0" fontId="3" fillId="3" borderId="1" xfId="0" applyFont="1" applyFill="1" applyBorder="1"/>
    <xf numFmtId="164" fontId="3" fillId="3" borderId="1" xfId="1" applyFont="1" applyFill="1" applyBorder="1"/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/>
    <xf numFmtId="164" fontId="3" fillId="4" borderId="1" xfId="1" applyFont="1" applyFill="1" applyBorder="1" applyAlignment="1">
      <alignment horizontal="center"/>
    </xf>
    <xf numFmtId="164" fontId="8" fillId="4" borderId="1" xfId="1" applyFont="1" applyFill="1" applyBorder="1" applyAlignment="1">
      <alignment horizontal="center"/>
    </xf>
    <xf numFmtId="164" fontId="6" fillId="4" borderId="1" xfId="1" applyFont="1" applyFill="1" applyBorder="1"/>
    <xf numFmtId="164" fontId="7" fillId="4" borderId="1" xfId="1" applyFont="1" applyFill="1" applyBorder="1"/>
    <xf numFmtId="164" fontId="2" fillId="4" borderId="1" xfId="1" applyFont="1" applyFill="1" applyBorder="1"/>
    <xf numFmtId="164" fontId="8" fillId="5" borderId="1" xfId="1" applyFont="1" applyFill="1" applyBorder="1" applyAlignment="1">
      <alignment horizontal="center"/>
    </xf>
    <xf numFmtId="164" fontId="3" fillId="5" borderId="1" xfId="1" applyFont="1" applyFill="1" applyBorder="1" applyAlignment="1">
      <alignment horizontal="center"/>
    </xf>
    <xf numFmtId="164" fontId="6" fillId="5" borderId="1" xfId="1" applyFont="1" applyFill="1" applyBorder="1"/>
    <xf numFmtId="164" fontId="7" fillId="5" borderId="1" xfId="1" applyFont="1" applyFill="1" applyBorder="1"/>
    <xf numFmtId="164" fontId="2" fillId="5" borderId="1" xfId="1" applyFont="1" applyFill="1" applyBorder="1"/>
    <xf numFmtId="164" fontId="3" fillId="6" borderId="1" xfId="1" applyFont="1" applyFill="1" applyBorder="1" applyAlignment="1">
      <alignment horizontal="center"/>
    </xf>
    <xf numFmtId="164" fontId="2" fillId="6" borderId="1" xfId="1" applyFont="1" applyFill="1" applyBorder="1"/>
    <xf numFmtId="164" fontId="6" fillId="6" borderId="1" xfId="1" applyFont="1" applyFill="1" applyBorder="1"/>
    <xf numFmtId="164" fontId="7" fillId="6" borderId="1" xfId="1" applyFont="1" applyFill="1" applyBorder="1"/>
    <xf numFmtId="164" fontId="3" fillId="7" borderId="1" xfId="1" applyFont="1" applyFill="1" applyBorder="1" applyAlignment="1">
      <alignment horizontal="center"/>
    </xf>
    <xf numFmtId="164" fontId="2" fillId="7" borderId="1" xfId="1" applyFont="1" applyFill="1" applyBorder="1"/>
    <xf numFmtId="164" fontId="8" fillId="7" borderId="1" xfId="1" applyFont="1" applyFill="1" applyBorder="1" applyAlignment="1">
      <alignment horizontal="center"/>
    </xf>
    <xf numFmtId="164" fontId="7" fillId="7" borderId="1" xfId="1" applyFont="1" applyFill="1" applyBorder="1"/>
    <xf numFmtId="164" fontId="7" fillId="0" borderId="0" xfId="1" applyFont="1"/>
    <xf numFmtId="164" fontId="3" fillId="3" borderId="2" xfId="1" applyFont="1" applyFill="1" applyBorder="1"/>
    <xf numFmtId="164" fontId="7" fillId="0" borderId="1" xfId="1" applyFont="1" applyBorder="1"/>
    <xf numFmtId="0" fontId="3" fillId="0" borderId="1" xfId="0" applyFont="1" applyBorder="1"/>
    <xf numFmtId="0" fontId="11" fillId="9" borderId="4" xfId="0" applyFont="1" applyFill="1" applyBorder="1" applyAlignment="1">
      <alignment horizontal="center"/>
    </xf>
    <xf numFmtId="166" fontId="11" fillId="9" borderId="4" xfId="0" applyNumberFormat="1" applyFont="1" applyFill="1" applyBorder="1" applyAlignment="1">
      <alignment horizontal="center"/>
    </xf>
    <xf numFmtId="164" fontId="11" fillId="9" borderId="4" xfId="1" applyFont="1" applyFill="1" applyBorder="1" applyAlignment="1">
      <alignment horizontal="center"/>
    </xf>
    <xf numFmtId="0" fontId="5" fillId="0" borderId="0" xfId="0" applyFont="1"/>
    <xf numFmtId="14" fontId="4" fillId="8" borderId="1" xfId="0" applyNumberFormat="1" applyFont="1" applyFill="1" applyBorder="1"/>
    <xf numFmtId="0" fontId="4" fillId="8" borderId="1" xfId="0" applyFont="1" applyFill="1" applyBorder="1"/>
    <xf numFmtId="166" fontId="4" fillId="8" borderId="1" xfId="0" applyNumberFormat="1" applyFont="1" applyFill="1" applyBorder="1"/>
    <xf numFmtId="164" fontId="4" fillId="8" borderId="1" xfId="0" applyNumberFormat="1" applyFont="1" applyFill="1" applyBorder="1"/>
    <xf numFmtId="164" fontId="4" fillId="8" borderId="1" xfId="1" applyFont="1" applyFill="1" applyBorder="1"/>
    <xf numFmtId="166" fontId="4" fillId="0" borderId="1" xfId="0" applyNumberFormat="1" applyFont="1" applyBorder="1"/>
    <xf numFmtId="164" fontId="4" fillId="0" borderId="1" xfId="1" applyFont="1" applyBorder="1"/>
    <xf numFmtId="166" fontId="4" fillId="0" borderId="0" xfId="0" applyNumberFormat="1" applyFont="1"/>
    <xf numFmtId="164" fontId="4" fillId="0" borderId="0" xfId="1" applyFont="1"/>
    <xf numFmtId="0" fontId="4" fillId="10" borderId="1" xfId="0" applyFont="1" applyFill="1" applyBorder="1"/>
    <xf numFmtId="166" fontId="4" fillId="10" borderId="1" xfId="0" applyNumberFormat="1" applyFont="1" applyFill="1" applyBorder="1"/>
    <xf numFmtId="164" fontId="4" fillId="10" borderId="1" xfId="0" applyNumberFormat="1" applyFont="1" applyFill="1" applyBorder="1"/>
    <xf numFmtId="164" fontId="4" fillId="10" borderId="1" xfId="1" applyFont="1" applyFill="1" applyBorder="1"/>
    <xf numFmtId="43" fontId="4" fillId="0" borderId="0" xfId="0" applyNumberFormat="1" applyFont="1"/>
    <xf numFmtId="165" fontId="7" fillId="0" borderId="1" xfId="0" applyNumberFormat="1" applyFont="1" applyBorder="1"/>
    <xf numFmtId="0" fontId="7" fillId="0" borderId="3" xfId="0" applyFont="1" applyBorder="1"/>
    <xf numFmtId="164" fontId="8" fillId="0" borderId="1" xfId="1" applyFont="1" applyBorder="1"/>
    <xf numFmtId="164" fontId="8" fillId="3" borderId="1" xfId="0" applyNumberFormat="1" applyFont="1" applyFill="1" applyBorder="1"/>
    <xf numFmtId="0" fontId="7" fillId="0" borderId="0" xfId="0" applyFont="1"/>
    <xf numFmtId="0" fontId="5" fillId="0" borderId="0" xfId="0" applyFont="1" applyAlignment="1">
      <alignment textRotation="45"/>
    </xf>
    <xf numFmtId="0" fontId="5" fillId="0" borderId="1" xfId="0" applyFont="1" applyBorder="1" applyAlignment="1">
      <alignment textRotation="45"/>
    </xf>
    <xf numFmtId="14" fontId="5" fillId="0" borderId="1" xfId="0" applyNumberFormat="1" applyFont="1" applyBorder="1" applyAlignment="1">
      <alignment textRotation="45"/>
    </xf>
    <xf numFmtId="164" fontId="4" fillId="2" borderId="1" xfId="1" applyFont="1" applyFill="1" applyBorder="1"/>
    <xf numFmtId="164" fontId="4" fillId="2" borderId="1" xfId="0" applyNumberFormat="1" applyFont="1" applyFill="1" applyBorder="1"/>
    <xf numFmtId="164" fontId="3" fillId="11" borderId="1" xfId="1" applyFont="1" applyFill="1" applyBorder="1" applyAlignment="1">
      <alignment horizontal="center"/>
    </xf>
    <xf numFmtId="164" fontId="2" fillId="11" borderId="1" xfId="1" applyFont="1" applyFill="1" applyBorder="1"/>
    <xf numFmtId="164" fontId="7" fillId="11" borderId="1" xfId="1" applyFont="1" applyFill="1" applyBorder="1"/>
    <xf numFmtId="0" fontId="4" fillId="0" borderId="0" xfId="0" applyFont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 wrapText="1"/>
    </xf>
    <xf numFmtId="166" fontId="11" fillId="9" borderId="4" xfId="0" applyNumberFormat="1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166" fontId="11" fillId="9" borderId="1" xfId="0" applyNumberFormat="1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0" fontId="11" fillId="9" borderId="7" xfId="0" applyFont="1" applyFill="1" applyBorder="1" applyAlignment="1">
      <alignment horizontal="center"/>
    </xf>
    <xf numFmtId="0" fontId="11" fillId="9" borderId="5" xfId="0" applyFont="1" applyFill="1" applyBorder="1" applyAlignment="1">
      <alignment horizontal="center"/>
    </xf>
    <xf numFmtId="0" fontId="10" fillId="9" borderId="3" xfId="0" applyFont="1" applyFill="1" applyBorder="1" applyAlignment="1">
      <alignment horizontal="center"/>
    </xf>
    <xf numFmtId="0" fontId="10" fillId="9" borderId="7" xfId="0" applyFont="1" applyFill="1" applyBorder="1" applyAlignment="1">
      <alignment horizontal="center"/>
    </xf>
    <xf numFmtId="0" fontId="10" fillId="9" borderId="5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3" fillId="0" borderId="2" xfId="1" applyFont="1" applyBorder="1" applyAlignment="1">
      <alignment horizontal="center" vertical="center" wrapText="1"/>
    </xf>
    <xf numFmtId="164" fontId="3" fillId="0" borderId="4" xfId="1" applyFont="1" applyBorder="1" applyAlignment="1">
      <alignment horizontal="center" vertical="center" wrapText="1"/>
    </xf>
    <xf numFmtId="164" fontId="3" fillId="4" borderId="3" xfId="1" applyFont="1" applyFill="1" applyBorder="1" applyAlignment="1">
      <alignment horizontal="center"/>
    </xf>
    <xf numFmtId="164" fontId="3" fillId="4" borderId="5" xfId="1" applyFont="1" applyFill="1" applyBorder="1" applyAlignment="1">
      <alignment horizontal="center"/>
    </xf>
    <xf numFmtId="164" fontId="3" fillId="5" borderId="3" xfId="1" applyFont="1" applyFill="1" applyBorder="1" applyAlignment="1">
      <alignment horizontal="center"/>
    </xf>
    <xf numFmtId="164" fontId="3" fillId="5" borderId="5" xfId="1" applyFont="1" applyFill="1" applyBorder="1" applyAlignment="1">
      <alignment horizontal="center"/>
    </xf>
    <xf numFmtId="164" fontId="3" fillId="6" borderId="3" xfId="1" applyFont="1" applyFill="1" applyBorder="1" applyAlignment="1">
      <alignment horizontal="center"/>
    </xf>
    <xf numFmtId="164" fontId="3" fillId="6" borderId="5" xfId="1" applyFont="1" applyFill="1" applyBorder="1" applyAlignment="1">
      <alignment horizontal="center"/>
    </xf>
    <xf numFmtId="164" fontId="2" fillId="0" borderId="1" xfId="1" applyFont="1" applyBorder="1" applyAlignment="1">
      <alignment horizontal="center"/>
    </xf>
    <xf numFmtId="164" fontId="3" fillId="0" borderId="3" xfId="1" applyFont="1" applyBorder="1" applyAlignment="1">
      <alignment horizontal="center"/>
    </xf>
    <xf numFmtId="164" fontId="3" fillId="0" borderId="5" xfId="1" applyFont="1" applyBorder="1" applyAlignment="1">
      <alignment horizontal="center"/>
    </xf>
    <xf numFmtId="164" fontId="3" fillId="0" borderId="2" xfId="1" applyFont="1" applyBorder="1" applyAlignment="1">
      <alignment horizontal="center"/>
    </xf>
    <xf numFmtId="164" fontId="3" fillId="0" borderId="4" xfId="1" applyFont="1" applyBorder="1" applyAlignment="1">
      <alignment horizontal="center"/>
    </xf>
    <xf numFmtId="164" fontId="3" fillId="11" borderId="3" xfId="1" applyFont="1" applyFill="1" applyBorder="1" applyAlignment="1">
      <alignment horizontal="center"/>
    </xf>
    <xf numFmtId="164" fontId="3" fillId="11" borderId="5" xfId="1" applyFont="1" applyFill="1" applyBorder="1" applyAlignment="1">
      <alignment horizontal="center"/>
    </xf>
    <xf numFmtId="164" fontId="3" fillId="7" borderId="3" xfId="1" applyFont="1" applyFill="1" applyBorder="1" applyAlignment="1">
      <alignment horizontal="center"/>
    </xf>
    <xf numFmtId="164" fontId="3" fillId="7" borderId="5" xfId="1" applyFont="1" applyFill="1" applyBorder="1" applyAlignment="1">
      <alignment horizontal="center"/>
    </xf>
    <xf numFmtId="164" fontId="7" fillId="0" borderId="1" xfId="1" applyFont="1" applyFill="1" applyBorder="1" applyAlignment="1">
      <alignment horizontal="center"/>
    </xf>
    <xf numFmtId="164" fontId="2" fillId="0" borderId="3" xfId="1" applyFont="1" applyBorder="1" applyAlignment="1">
      <alignment horizontal="center"/>
    </xf>
    <xf numFmtId="164" fontId="2" fillId="0" borderId="5" xfId="1" applyFont="1" applyBorder="1" applyAlignment="1">
      <alignment horizontal="center"/>
    </xf>
    <xf numFmtId="164" fontId="7" fillId="0" borderId="3" xfId="1" applyFont="1" applyBorder="1" applyAlignment="1">
      <alignment horizontal="center"/>
    </xf>
    <xf numFmtId="164" fontId="7" fillId="0" borderId="5" xfId="1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8C04D-2C56-470D-8D37-71181FAE395B}">
  <dimension ref="A1:H27"/>
  <sheetViews>
    <sheetView view="pageLayout" topLeftCell="A7" zoomScale="145" zoomScaleNormal="130" zoomScalePageLayoutView="145" workbookViewId="0">
      <selection activeCell="G8" sqref="G8"/>
    </sheetView>
  </sheetViews>
  <sheetFormatPr baseColWidth="10" defaultRowHeight="15" x14ac:dyDescent="0.3"/>
  <cols>
    <col min="1" max="1" width="4.42578125" style="3" bestFit="1" customWidth="1"/>
    <col min="2" max="2" width="30.85546875" style="2" bestFit="1" customWidth="1"/>
    <col min="3" max="3" width="9.85546875" style="2" bestFit="1" customWidth="1"/>
    <col min="4" max="4" width="13.85546875" style="2" bestFit="1" customWidth="1"/>
    <col min="5" max="5" width="8" style="2" bestFit="1" customWidth="1"/>
    <col min="6" max="6" width="11.85546875" style="2" bestFit="1" customWidth="1"/>
    <col min="7" max="7" width="10.140625" style="2" customWidth="1"/>
    <col min="8" max="8" width="9" style="2" bestFit="1" customWidth="1"/>
    <col min="9" max="16384" width="11.42578125" style="2"/>
  </cols>
  <sheetData>
    <row r="1" spans="1:8" s="9" customFormat="1" ht="30.75" thickBot="1" x14ac:dyDescent="0.35">
      <c r="A1" s="7" t="s">
        <v>13</v>
      </c>
      <c r="B1" s="8" t="s">
        <v>27</v>
      </c>
      <c r="C1" s="8" t="s">
        <v>28</v>
      </c>
      <c r="D1" s="8" t="s">
        <v>26</v>
      </c>
      <c r="E1" s="8" t="s">
        <v>29</v>
      </c>
      <c r="F1" s="8" t="s">
        <v>40</v>
      </c>
      <c r="G1" s="8" t="s">
        <v>30</v>
      </c>
      <c r="H1" s="9" t="s">
        <v>71</v>
      </c>
    </row>
    <row r="2" spans="1:8" ht="15.75" thickBot="1" x14ac:dyDescent="0.35">
      <c r="A2" s="4">
        <v>1</v>
      </c>
      <c r="B2" s="6" t="s">
        <v>14</v>
      </c>
      <c r="C2" s="6"/>
      <c r="D2" s="5">
        <v>45658</v>
      </c>
      <c r="E2" s="6">
        <v>100</v>
      </c>
      <c r="F2" s="66">
        <f>'APORTES 2026'!AC3</f>
        <v>1800</v>
      </c>
      <c r="G2" s="6" t="s">
        <v>31</v>
      </c>
      <c r="H2" s="88" t="s">
        <v>72</v>
      </c>
    </row>
    <row r="3" spans="1:8" ht="15.75" thickBot="1" x14ac:dyDescent="0.35">
      <c r="A3" s="4">
        <v>2</v>
      </c>
      <c r="B3" s="6" t="s">
        <v>20</v>
      </c>
      <c r="C3" s="6"/>
      <c r="D3" s="5">
        <v>45658</v>
      </c>
      <c r="E3" s="6">
        <v>100</v>
      </c>
      <c r="F3" s="66">
        <f>'APORTES 2026'!AC4</f>
        <v>1800</v>
      </c>
      <c r="G3" s="6" t="s">
        <v>31</v>
      </c>
      <c r="H3" s="88" t="s">
        <v>75</v>
      </c>
    </row>
    <row r="4" spans="1:8" ht="15.75" thickBot="1" x14ac:dyDescent="0.35">
      <c r="A4" s="4">
        <v>3</v>
      </c>
      <c r="B4" s="6" t="s">
        <v>21</v>
      </c>
      <c r="C4" s="6"/>
      <c r="D4" s="5">
        <v>45658</v>
      </c>
      <c r="E4" s="6">
        <v>100</v>
      </c>
      <c r="F4" s="66">
        <f>'APORTES 2026'!AC5</f>
        <v>1800</v>
      </c>
      <c r="G4" s="6" t="s">
        <v>31</v>
      </c>
      <c r="H4" s="88" t="s">
        <v>75</v>
      </c>
    </row>
    <row r="5" spans="1:8" ht="15.75" thickBot="1" x14ac:dyDescent="0.35">
      <c r="A5" s="4">
        <v>4</v>
      </c>
      <c r="B5" s="6" t="s">
        <v>15</v>
      </c>
      <c r="C5" s="6"/>
      <c r="D5" s="5">
        <v>45658</v>
      </c>
      <c r="E5" s="6">
        <v>100</v>
      </c>
      <c r="F5" s="66">
        <f>'APORTES 2026'!AC6</f>
        <v>1800</v>
      </c>
      <c r="G5" s="6" t="s">
        <v>31</v>
      </c>
      <c r="H5" s="88" t="s">
        <v>73</v>
      </c>
    </row>
    <row r="6" spans="1:8" ht="15.75" thickBot="1" x14ac:dyDescent="0.35">
      <c r="A6" s="4">
        <v>5</v>
      </c>
      <c r="B6" s="6" t="s">
        <v>25</v>
      </c>
      <c r="C6" s="6"/>
      <c r="D6" s="5">
        <v>45658</v>
      </c>
      <c r="E6" s="6">
        <v>100</v>
      </c>
      <c r="F6" s="66">
        <f>'APORTES 2026'!AC7</f>
        <v>1800</v>
      </c>
      <c r="G6" s="6" t="s">
        <v>31</v>
      </c>
      <c r="H6" s="88" t="s">
        <v>72</v>
      </c>
    </row>
    <row r="7" spans="1:8" ht="15.75" thickBot="1" x14ac:dyDescent="0.35">
      <c r="A7" s="4">
        <v>6</v>
      </c>
      <c r="B7" s="6" t="s">
        <v>19</v>
      </c>
      <c r="C7" s="6"/>
      <c r="D7" s="5">
        <v>45658</v>
      </c>
      <c r="E7" s="6">
        <v>100</v>
      </c>
      <c r="F7" s="66">
        <f>'APORTES 2026'!AC8</f>
        <v>1800</v>
      </c>
      <c r="G7" s="6" t="s">
        <v>31</v>
      </c>
      <c r="H7" s="88" t="s">
        <v>75</v>
      </c>
    </row>
    <row r="8" spans="1:8" ht="15.75" thickBot="1" x14ac:dyDescent="0.35">
      <c r="A8" s="4">
        <v>7</v>
      </c>
      <c r="B8" s="6" t="s">
        <v>17</v>
      </c>
      <c r="C8" s="6"/>
      <c r="D8" s="5">
        <v>45658</v>
      </c>
      <c r="E8" s="6">
        <v>100</v>
      </c>
      <c r="F8" s="66">
        <f>'APORTES 2026'!AC9</f>
        <v>1800</v>
      </c>
      <c r="G8" s="6" t="s">
        <v>31</v>
      </c>
      <c r="H8" s="88" t="s">
        <v>73</v>
      </c>
    </row>
    <row r="9" spans="1:8" ht="15.75" thickBot="1" x14ac:dyDescent="0.35">
      <c r="A9" s="4">
        <v>8</v>
      </c>
      <c r="B9" s="6" t="s">
        <v>23</v>
      </c>
      <c r="C9" s="6">
        <v>70428001</v>
      </c>
      <c r="D9" s="5">
        <v>45658</v>
      </c>
      <c r="E9" s="6">
        <v>100</v>
      </c>
      <c r="F9" s="66">
        <f>'APORTES 2026'!AC10</f>
        <v>1800</v>
      </c>
      <c r="G9" s="6" t="s">
        <v>31</v>
      </c>
      <c r="H9" s="88" t="s">
        <v>73</v>
      </c>
    </row>
    <row r="10" spans="1:8" ht="15.75" thickBot="1" x14ac:dyDescent="0.35">
      <c r="A10" s="4">
        <v>9</v>
      </c>
      <c r="B10" s="6" t="s">
        <v>24</v>
      </c>
      <c r="C10" s="6"/>
      <c r="D10" s="5">
        <v>45658</v>
      </c>
      <c r="E10" s="6">
        <v>100</v>
      </c>
      <c r="F10" s="66">
        <f>'APORTES 2026'!AC11</f>
        <v>1800</v>
      </c>
      <c r="G10" s="6" t="s">
        <v>31</v>
      </c>
      <c r="H10" s="88" t="s">
        <v>74</v>
      </c>
    </row>
    <row r="11" spans="1:8" ht="15.75" thickBot="1" x14ac:dyDescent="0.35">
      <c r="A11" s="4">
        <v>10</v>
      </c>
      <c r="B11" s="6" t="s">
        <v>18</v>
      </c>
      <c r="C11" s="6"/>
      <c r="D11" s="5">
        <v>45658</v>
      </c>
      <c r="E11" s="6">
        <v>100</v>
      </c>
      <c r="F11" s="66">
        <f>'APORTES 2026'!AC12</f>
        <v>1800</v>
      </c>
      <c r="G11" s="6" t="s">
        <v>31</v>
      </c>
      <c r="H11" s="88" t="s">
        <v>73</v>
      </c>
    </row>
    <row r="12" spans="1:8" ht="15.75" thickBot="1" x14ac:dyDescent="0.35">
      <c r="A12" s="4">
        <v>11</v>
      </c>
      <c r="B12" s="6" t="s">
        <v>16</v>
      </c>
      <c r="C12" s="6"/>
      <c r="D12" s="5">
        <v>45658</v>
      </c>
      <c r="E12" s="6">
        <v>100</v>
      </c>
      <c r="F12" s="66">
        <f>'APORTES 2026'!AC13</f>
        <v>1800</v>
      </c>
      <c r="G12" s="6" t="s">
        <v>31</v>
      </c>
      <c r="H12" s="88" t="s">
        <v>72</v>
      </c>
    </row>
    <row r="13" spans="1:8" ht="15.75" thickBot="1" x14ac:dyDescent="0.35">
      <c r="A13" s="4">
        <v>12</v>
      </c>
      <c r="B13" s="6" t="s">
        <v>22</v>
      </c>
      <c r="C13" s="6"/>
      <c r="D13" s="5">
        <v>45658</v>
      </c>
      <c r="E13" s="6">
        <v>100</v>
      </c>
      <c r="F13" s="66">
        <f>'APORTES 2026'!AC14</f>
        <v>1800</v>
      </c>
      <c r="G13" s="6" t="s">
        <v>31</v>
      </c>
      <c r="H13" s="88" t="s">
        <v>73</v>
      </c>
    </row>
    <row r="14" spans="1:8" ht="15.75" thickBot="1" x14ac:dyDescent="0.35">
      <c r="A14" s="4">
        <v>13</v>
      </c>
      <c r="B14" s="6" t="s">
        <v>33</v>
      </c>
      <c r="C14" s="6"/>
      <c r="D14" s="5">
        <v>46023</v>
      </c>
      <c r="E14" s="6">
        <v>100</v>
      </c>
      <c r="F14" s="66">
        <f>'APORTES 2026'!AC15</f>
        <v>700</v>
      </c>
      <c r="G14" s="6" t="s">
        <v>31</v>
      </c>
      <c r="H14" s="88" t="s">
        <v>73</v>
      </c>
    </row>
    <row r="15" spans="1:8" ht="15.75" thickBot="1" x14ac:dyDescent="0.35">
      <c r="A15" s="4">
        <v>14</v>
      </c>
      <c r="B15" s="6" t="s">
        <v>34</v>
      </c>
      <c r="C15" s="6"/>
      <c r="D15" s="5">
        <v>46023</v>
      </c>
      <c r="E15" s="6">
        <v>100</v>
      </c>
      <c r="F15" s="66">
        <f>'APORTES 2026'!AC16</f>
        <v>700</v>
      </c>
      <c r="G15" s="6" t="s">
        <v>31</v>
      </c>
      <c r="H15" s="88" t="s">
        <v>73</v>
      </c>
    </row>
    <row r="16" spans="1:8" ht="15.75" thickBot="1" x14ac:dyDescent="0.35">
      <c r="A16" s="4">
        <v>15</v>
      </c>
      <c r="B16" s="6" t="s">
        <v>35</v>
      </c>
      <c r="C16" s="6"/>
      <c r="D16" s="5">
        <v>45658</v>
      </c>
      <c r="E16" s="6">
        <v>100</v>
      </c>
      <c r="F16" s="66">
        <f>'APORTES 2026'!AC17</f>
        <v>705</v>
      </c>
      <c r="G16" s="6" t="s">
        <v>31</v>
      </c>
      <c r="H16" s="88" t="s">
        <v>73</v>
      </c>
    </row>
    <row r="17" spans="1:7" ht="15.75" thickBot="1" x14ac:dyDescent="0.35">
      <c r="A17" s="4">
        <v>16</v>
      </c>
      <c r="B17" s="6" t="s">
        <v>76</v>
      </c>
      <c r="C17" s="6"/>
      <c r="D17" s="5">
        <v>46204</v>
      </c>
      <c r="E17" s="6">
        <v>100</v>
      </c>
      <c r="F17" s="66">
        <f>'APORTES 2026'!AC18</f>
        <v>100</v>
      </c>
      <c r="G17" s="6" t="s">
        <v>31</v>
      </c>
    </row>
    <row r="18" spans="1:7" ht="15.75" thickBot="1" x14ac:dyDescent="0.35">
      <c r="A18" s="4">
        <v>17</v>
      </c>
      <c r="B18" s="6"/>
      <c r="C18" s="6"/>
      <c r="D18" s="5">
        <v>45658</v>
      </c>
      <c r="E18" s="6"/>
      <c r="F18" s="6"/>
      <c r="G18" s="6"/>
    </row>
    <row r="19" spans="1:7" ht="15.75" thickBot="1" x14ac:dyDescent="0.35">
      <c r="A19" s="4">
        <v>18</v>
      </c>
      <c r="B19" s="6"/>
      <c r="C19" s="6"/>
      <c r="D19" s="5">
        <v>45658</v>
      </c>
      <c r="E19" s="6"/>
      <c r="F19" s="6"/>
      <c r="G19" s="6"/>
    </row>
    <row r="20" spans="1:7" ht="15.75" thickBot="1" x14ac:dyDescent="0.35">
      <c r="A20" s="4">
        <v>19</v>
      </c>
      <c r="B20" s="6"/>
      <c r="C20" s="6"/>
      <c r="D20" s="5">
        <v>45658</v>
      </c>
      <c r="E20" s="6"/>
      <c r="F20" s="6"/>
      <c r="G20" s="6"/>
    </row>
    <row r="21" spans="1:7" ht="15.75" thickBot="1" x14ac:dyDescent="0.35">
      <c r="A21" s="4">
        <v>20</v>
      </c>
      <c r="B21" s="6"/>
      <c r="C21" s="6"/>
      <c r="D21" s="5">
        <v>45658</v>
      </c>
      <c r="E21" s="6"/>
      <c r="F21" s="6"/>
      <c r="G21" s="6"/>
    </row>
    <row r="22" spans="1:7" ht="15.75" thickBot="1" x14ac:dyDescent="0.35">
      <c r="A22" s="4">
        <v>21</v>
      </c>
      <c r="B22" s="6"/>
      <c r="C22" s="6"/>
      <c r="D22" s="5">
        <v>45658</v>
      </c>
      <c r="E22" s="6"/>
      <c r="F22" s="6"/>
      <c r="G22" s="6"/>
    </row>
    <row r="23" spans="1:7" ht="15.75" thickBot="1" x14ac:dyDescent="0.35">
      <c r="A23" s="4">
        <v>22</v>
      </c>
      <c r="B23" s="6"/>
      <c r="C23" s="6"/>
      <c r="D23" s="5">
        <v>45658</v>
      </c>
      <c r="E23" s="6"/>
      <c r="F23" s="6"/>
      <c r="G23" s="6"/>
    </row>
    <row r="24" spans="1:7" ht="15.75" thickBot="1" x14ac:dyDescent="0.35">
      <c r="A24" s="4">
        <v>23</v>
      </c>
      <c r="B24" s="6"/>
      <c r="C24" s="6"/>
      <c r="D24" s="5">
        <v>45658</v>
      </c>
      <c r="E24" s="6"/>
      <c r="F24" s="6"/>
      <c r="G24" s="6"/>
    </row>
    <row r="25" spans="1:7" ht="15.75" thickBot="1" x14ac:dyDescent="0.35">
      <c r="A25" s="4">
        <v>24</v>
      </c>
      <c r="B25" s="6"/>
      <c r="C25" s="6"/>
      <c r="D25" s="5">
        <v>45658</v>
      </c>
      <c r="E25" s="6"/>
      <c r="F25" s="6"/>
      <c r="G25" s="6"/>
    </row>
    <row r="26" spans="1:7" ht="15.75" thickBot="1" x14ac:dyDescent="0.35">
      <c r="A26" s="21">
        <v>25</v>
      </c>
      <c r="B26" s="22"/>
      <c r="C26" s="22"/>
      <c r="D26" s="23">
        <v>45658</v>
      </c>
      <c r="E26" s="22"/>
      <c r="F26" s="22"/>
      <c r="G26" s="22"/>
    </row>
    <row r="27" spans="1:7" ht="15.75" thickBot="1" x14ac:dyDescent="0.35">
      <c r="A27" s="4">
        <v>26</v>
      </c>
      <c r="B27" s="6" t="s">
        <v>39</v>
      </c>
      <c r="C27" s="6"/>
      <c r="D27" s="5">
        <v>45658</v>
      </c>
      <c r="E27" s="6"/>
      <c r="F27" s="6"/>
      <c r="G27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648C0-344D-4D8D-B6A1-5E5A0E470304}">
  <dimension ref="A1:L30"/>
  <sheetViews>
    <sheetView tabSelected="1" view="pageLayout" topLeftCell="A10" zoomScale="145" zoomScaleNormal="100" zoomScalePageLayoutView="145" workbookViewId="0">
      <selection activeCell="K20" sqref="K20"/>
    </sheetView>
  </sheetViews>
  <sheetFormatPr baseColWidth="10" defaultRowHeight="15" x14ac:dyDescent="0.3"/>
  <cols>
    <col min="1" max="1" width="6.42578125" style="2" bestFit="1" customWidth="1"/>
    <col min="2" max="2" width="11" style="2" bestFit="1" customWidth="1"/>
    <col min="3" max="3" width="8.85546875" style="2" bestFit="1" customWidth="1"/>
    <col min="4" max="4" width="11.140625" style="2" customWidth="1"/>
    <col min="5" max="5" width="12.28515625" style="68" bestFit="1" customWidth="1"/>
    <col min="6" max="6" width="13.28515625" style="68" bestFit="1" customWidth="1"/>
    <col min="7" max="7" width="12.28515625" style="2" bestFit="1" customWidth="1"/>
    <col min="8" max="8" width="13.42578125" style="2" bestFit="1" customWidth="1"/>
    <col min="9" max="10" width="13.42578125" style="69" bestFit="1" customWidth="1"/>
    <col min="11" max="11" width="17.42578125" style="68" bestFit="1" customWidth="1"/>
    <col min="12" max="12" width="12.85546875" style="2" bestFit="1" customWidth="1"/>
    <col min="13" max="16384" width="11.42578125" style="2"/>
  </cols>
  <sheetData>
    <row r="1" spans="1:12" ht="15.75" thickBot="1" x14ac:dyDescent="0.35">
      <c r="A1" s="101"/>
      <c r="B1" s="102"/>
      <c r="C1" s="102"/>
      <c r="D1" s="103"/>
      <c r="E1" s="97" t="s">
        <v>67</v>
      </c>
      <c r="F1" s="97"/>
      <c r="G1" s="98" t="s">
        <v>44</v>
      </c>
      <c r="H1" s="99"/>
      <c r="I1" s="99"/>
      <c r="J1" s="100"/>
      <c r="K1" s="89" t="s">
        <v>68</v>
      </c>
    </row>
    <row r="2" spans="1:12" s="60" customFormat="1" ht="16.5" customHeight="1" thickBot="1" x14ac:dyDescent="0.35">
      <c r="A2" s="57" t="s">
        <v>59</v>
      </c>
      <c r="B2" s="57" t="s">
        <v>47</v>
      </c>
      <c r="C2" s="57" t="s">
        <v>0</v>
      </c>
      <c r="D2" s="57" t="s">
        <v>43</v>
      </c>
      <c r="E2" s="58" t="s">
        <v>40</v>
      </c>
      <c r="F2" s="58" t="s">
        <v>65</v>
      </c>
      <c r="G2" s="57" t="s">
        <v>40</v>
      </c>
      <c r="H2" s="57" t="s">
        <v>66</v>
      </c>
      <c r="I2" s="59" t="s">
        <v>46</v>
      </c>
      <c r="J2" s="59" t="s">
        <v>42</v>
      </c>
      <c r="K2" s="90"/>
    </row>
    <row r="3" spans="1:12" ht="15.75" thickBot="1" x14ac:dyDescent="0.35">
      <c r="A3" s="91">
        <v>2025</v>
      </c>
      <c r="B3" s="61" t="s">
        <v>48</v>
      </c>
      <c r="C3" s="62" t="s">
        <v>44</v>
      </c>
      <c r="D3" s="62" t="s">
        <v>45</v>
      </c>
      <c r="E3" s="63">
        <f>'APORTES 2025'!D27</f>
        <v>1200</v>
      </c>
      <c r="F3" s="63">
        <f>E3</f>
        <v>1200</v>
      </c>
      <c r="G3" s="64">
        <f>E3</f>
        <v>1200</v>
      </c>
      <c r="H3" s="64">
        <v>0</v>
      </c>
      <c r="I3" s="65">
        <v>0</v>
      </c>
      <c r="J3" s="65">
        <f>G3+H3-I3</f>
        <v>1200</v>
      </c>
      <c r="K3" s="63"/>
    </row>
    <row r="4" spans="1:12" ht="15.75" thickBot="1" x14ac:dyDescent="0.35">
      <c r="A4" s="92"/>
      <c r="B4" s="61" t="s">
        <v>49</v>
      </c>
      <c r="C4" s="62" t="s">
        <v>44</v>
      </c>
      <c r="D4" s="62" t="s">
        <v>45</v>
      </c>
      <c r="E4" s="63">
        <f>'APORTES 2025'!E27</f>
        <v>1200</v>
      </c>
      <c r="F4" s="63">
        <f>E4+F3</f>
        <v>2400</v>
      </c>
      <c r="G4" s="64">
        <f t="shared" ref="G4:G13" si="0">E4</f>
        <v>1200</v>
      </c>
      <c r="H4" s="64">
        <v>0</v>
      </c>
      <c r="I4" s="65">
        <v>0</v>
      </c>
      <c r="J4" s="65">
        <f>J3+G4+H4-I4</f>
        <v>2400</v>
      </c>
      <c r="K4" s="63"/>
    </row>
    <row r="5" spans="1:12" ht="15.75" thickBot="1" x14ac:dyDescent="0.35">
      <c r="A5" s="92"/>
      <c r="B5" s="61" t="s">
        <v>50</v>
      </c>
      <c r="C5" s="62" t="s">
        <v>44</v>
      </c>
      <c r="D5" s="62" t="s">
        <v>45</v>
      </c>
      <c r="E5" s="63">
        <f>'APORTES 2025'!F27</f>
        <v>1200</v>
      </c>
      <c r="F5" s="63">
        <f t="shared" ref="F5:F25" si="1">E5+F4</f>
        <v>3600</v>
      </c>
      <c r="G5" s="64">
        <f t="shared" si="0"/>
        <v>1200</v>
      </c>
      <c r="H5" s="64">
        <v>0</v>
      </c>
      <c r="I5" s="65">
        <v>0</v>
      </c>
      <c r="J5" s="65">
        <f t="shared" ref="J5:J12" si="2">J4+G5+H5-I5</f>
        <v>3600</v>
      </c>
      <c r="K5" s="63"/>
    </row>
    <row r="6" spans="1:12" ht="15.75" thickBot="1" x14ac:dyDescent="0.35">
      <c r="A6" s="92"/>
      <c r="B6" s="61" t="s">
        <v>51</v>
      </c>
      <c r="C6" s="62" t="s">
        <v>44</v>
      </c>
      <c r="D6" s="62" t="s">
        <v>45</v>
      </c>
      <c r="E6" s="63">
        <f>'APORTES 2025'!G27</f>
        <v>1200</v>
      </c>
      <c r="F6" s="63">
        <f t="shared" si="1"/>
        <v>4800</v>
      </c>
      <c r="G6" s="64">
        <f t="shared" si="0"/>
        <v>1200</v>
      </c>
      <c r="H6" s="64">
        <v>0</v>
      </c>
      <c r="I6" s="65">
        <v>0</v>
      </c>
      <c r="J6" s="65">
        <f t="shared" si="2"/>
        <v>4800</v>
      </c>
      <c r="K6" s="63"/>
    </row>
    <row r="7" spans="1:12" ht="15.75" thickBot="1" x14ac:dyDescent="0.35">
      <c r="A7" s="92"/>
      <c r="B7" s="61" t="s">
        <v>52</v>
      </c>
      <c r="C7" s="62" t="s">
        <v>44</v>
      </c>
      <c r="D7" s="62" t="s">
        <v>46</v>
      </c>
      <c r="E7" s="63">
        <f>'APORTES 2025'!H27</f>
        <v>1200</v>
      </c>
      <c r="F7" s="63">
        <f t="shared" si="1"/>
        <v>6000</v>
      </c>
      <c r="G7" s="64">
        <f t="shared" si="0"/>
        <v>1200</v>
      </c>
      <c r="H7" s="64">
        <v>0</v>
      </c>
      <c r="I7" s="65">
        <v>4800</v>
      </c>
      <c r="J7" s="65">
        <f t="shared" si="2"/>
        <v>1200</v>
      </c>
      <c r="K7" s="63"/>
    </row>
    <row r="8" spans="1:12" ht="15.75" thickBot="1" x14ac:dyDescent="0.35">
      <c r="A8" s="92"/>
      <c r="B8" s="61" t="s">
        <v>53</v>
      </c>
      <c r="C8" s="62" t="s">
        <v>44</v>
      </c>
      <c r="D8" s="62" t="s">
        <v>45</v>
      </c>
      <c r="E8" s="63">
        <f>'APORTES 2025'!I27</f>
        <v>1200</v>
      </c>
      <c r="F8" s="63">
        <f t="shared" si="1"/>
        <v>7200</v>
      </c>
      <c r="G8" s="64">
        <f t="shared" si="0"/>
        <v>1200</v>
      </c>
      <c r="H8" s="64">
        <v>0</v>
      </c>
      <c r="I8" s="65">
        <v>0</v>
      </c>
      <c r="J8" s="65">
        <f t="shared" si="2"/>
        <v>2400</v>
      </c>
      <c r="K8" s="63"/>
    </row>
    <row r="9" spans="1:12" ht="15.75" thickBot="1" x14ac:dyDescent="0.35">
      <c r="A9" s="92"/>
      <c r="B9" s="61" t="s">
        <v>55</v>
      </c>
      <c r="C9" s="62" t="s">
        <v>44</v>
      </c>
      <c r="D9" s="62" t="s">
        <v>45</v>
      </c>
      <c r="E9" s="63">
        <f>'APORTES 2025'!J27</f>
        <v>1200</v>
      </c>
      <c r="F9" s="63">
        <f t="shared" si="1"/>
        <v>8400</v>
      </c>
      <c r="G9" s="64">
        <f t="shared" si="0"/>
        <v>1200</v>
      </c>
      <c r="H9" s="64">
        <f>4800+430.1</f>
        <v>5230.1000000000004</v>
      </c>
      <c r="I9" s="65">
        <v>0</v>
      </c>
      <c r="J9" s="65">
        <f t="shared" si="2"/>
        <v>8830.1</v>
      </c>
      <c r="K9" s="63"/>
    </row>
    <row r="10" spans="1:12" ht="15.75" thickBot="1" x14ac:dyDescent="0.35">
      <c r="A10" s="92"/>
      <c r="B10" s="61" t="s">
        <v>54</v>
      </c>
      <c r="C10" s="62" t="s">
        <v>44</v>
      </c>
      <c r="D10" s="62" t="s">
        <v>45</v>
      </c>
      <c r="E10" s="63">
        <f>'APORTES 2025'!K27</f>
        <v>1200</v>
      </c>
      <c r="F10" s="63">
        <f t="shared" si="1"/>
        <v>9600</v>
      </c>
      <c r="G10" s="64">
        <f t="shared" si="0"/>
        <v>1200</v>
      </c>
      <c r="H10" s="64">
        <v>0</v>
      </c>
      <c r="I10" s="65">
        <v>0</v>
      </c>
      <c r="J10" s="65">
        <f t="shared" si="2"/>
        <v>10030.1</v>
      </c>
      <c r="K10" s="63"/>
    </row>
    <row r="11" spans="1:12" ht="15.75" thickBot="1" x14ac:dyDescent="0.35">
      <c r="A11" s="92"/>
      <c r="B11" s="62" t="s">
        <v>56</v>
      </c>
      <c r="C11" s="62" t="s">
        <v>44</v>
      </c>
      <c r="D11" s="62" t="s">
        <v>45</v>
      </c>
      <c r="E11" s="63">
        <f>'APORTES 2025'!L27</f>
        <v>1200</v>
      </c>
      <c r="F11" s="63">
        <f t="shared" si="1"/>
        <v>10800</v>
      </c>
      <c r="G11" s="64">
        <f t="shared" si="0"/>
        <v>1200</v>
      </c>
      <c r="H11" s="64">
        <v>0</v>
      </c>
      <c r="I11" s="65">
        <v>0</v>
      </c>
      <c r="J11" s="65">
        <f t="shared" si="2"/>
        <v>11230.1</v>
      </c>
      <c r="K11" s="63"/>
    </row>
    <row r="12" spans="1:12" ht="15.75" thickBot="1" x14ac:dyDescent="0.35">
      <c r="A12" s="92"/>
      <c r="B12" s="62" t="s">
        <v>57</v>
      </c>
      <c r="C12" s="62" t="s">
        <v>44</v>
      </c>
      <c r="D12" s="62" t="s">
        <v>45</v>
      </c>
      <c r="E12" s="63">
        <f>'APORTES 2025'!M27</f>
        <v>1200</v>
      </c>
      <c r="F12" s="63">
        <f t="shared" si="1"/>
        <v>12000</v>
      </c>
      <c r="G12" s="64">
        <f t="shared" si="0"/>
        <v>1200</v>
      </c>
      <c r="H12" s="64">
        <v>0</v>
      </c>
      <c r="I12" s="65">
        <v>0</v>
      </c>
      <c r="J12" s="65">
        <f t="shared" si="2"/>
        <v>12430.1</v>
      </c>
      <c r="K12" s="63"/>
    </row>
    <row r="13" spans="1:12" ht="15.75" thickBot="1" x14ac:dyDescent="0.35">
      <c r="A13" s="93"/>
      <c r="B13" s="62" t="s">
        <v>58</v>
      </c>
      <c r="C13" s="62" t="s">
        <v>44</v>
      </c>
      <c r="D13" s="62" t="s">
        <v>45</v>
      </c>
      <c r="E13" s="63">
        <f>'APORTES 2025'!N27</f>
        <v>1200</v>
      </c>
      <c r="F13" s="63">
        <f t="shared" si="1"/>
        <v>13200</v>
      </c>
      <c r="G13" s="64">
        <f t="shared" si="0"/>
        <v>1200</v>
      </c>
      <c r="H13" s="64">
        <v>0</v>
      </c>
      <c r="I13" s="83">
        <v>12200</v>
      </c>
      <c r="J13" s="65">
        <f>J12+G13+H13-I13</f>
        <v>1430.1000000000004</v>
      </c>
      <c r="K13" s="63">
        <f>I13+J13</f>
        <v>13630.1</v>
      </c>
    </row>
    <row r="14" spans="1:12" ht="15.75" thickBot="1" x14ac:dyDescent="0.35">
      <c r="A14" s="94">
        <v>2026</v>
      </c>
      <c r="B14" s="70" t="s">
        <v>60</v>
      </c>
      <c r="C14" s="70" t="s">
        <v>44</v>
      </c>
      <c r="D14" s="70" t="s">
        <v>45</v>
      </c>
      <c r="E14" s="71">
        <f>'APORTES 2026'!D28</f>
        <v>1500</v>
      </c>
      <c r="F14" s="71">
        <f t="shared" si="1"/>
        <v>14700</v>
      </c>
      <c r="G14" s="72">
        <f>E14+'APORTES 2026'!E28</f>
        <v>1555</v>
      </c>
      <c r="H14" s="72"/>
      <c r="I14" s="73"/>
      <c r="J14" s="73">
        <f>J13+G14+H14-I14</f>
        <v>2985.1000000000004</v>
      </c>
      <c r="K14" s="71"/>
    </row>
    <row r="15" spans="1:12" ht="15.75" thickBot="1" x14ac:dyDescent="0.35">
      <c r="A15" s="95"/>
      <c r="B15" s="70" t="s">
        <v>48</v>
      </c>
      <c r="C15" s="70" t="s">
        <v>44</v>
      </c>
      <c r="D15" s="70" t="s">
        <v>45</v>
      </c>
      <c r="E15" s="71">
        <f>'APORTES 2026'!F28</f>
        <v>1500</v>
      </c>
      <c r="F15" s="71">
        <f t="shared" si="1"/>
        <v>16200</v>
      </c>
      <c r="G15" s="72">
        <f>E15+'APORTES 2026'!G28</f>
        <v>1515</v>
      </c>
      <c r="H15" s="72"/>
      <c r="I15" s="73"/>
      <c r="J15" s="73">
        <f t="shared" ref="J15:J25" si="3">J14+G15+H15-I15</f>
        <v>4500.1000000000004</v>
      </c>
      <c r="K15" s="71"/>
    </row>
    <row r="16" spans="1:12" ht="15.75" thickBot="1" x14ac:dyDescent="0.35">
      <c r="A16" s="95"/>
      <c r="B16" s="70" t="s">
        <v>49</v>
      </c>
      <c r="C16" s="70" t="s">
        <v>44</v>
      </c>
      <c r="D16" s="70" t="s">
        <v>45</v>
      </c>
      <c r="E16" s="71">
        <f>'APORTES 2026'!H28</f>
        <v>1505</v>
      </c>
      <c r="F16" s="71">
        <f t="shared" si="1"/>
        <v>17705</v>
      </c>
      <c r="G16" s="72">
        <f>E16+'APORTES 2026'!I28</f>
        <v>1520</v>
      </c>
      <c r="H16" s="84">
        <f>12200+1267.57</f>
        <v>13467.57</v>
      </c>
      <c r="I16" s="73"/>
      <c r="J16" s="73">
        <f t="shared" si="3"/>
        <v>19487.669999999998</v>
      </c>
      <c r="K16" s="71">
        <f>1267.57+430</f>
        <v>1697.57</v>
      </c>
      <c r="L16" s="74"/>
    </row>
    <row r="17" spans="1:12" ht="15.75" thickBot="1" x14ac:dyDescent="0.35">
      <c r="A17" s="95"/>
      <c r="B17" s="70" t="s">
        <v>50</v>
      </c>
      <c r="C17" s="70" t="s">
        <v>44</v>
      </c>
      <c r="D17" s="70" t="s">
        <v>45</v>
      </c>
      <c r="E17" s="71">
        <f>'APORTES 2026'!J28</f>
        <v>1500</v>
      </c>
      <c r="F17" s="71">
        <f t="shared" si="1"/>
        <v>19205</v>
      </c>
      <c r="G17" s="71">
        <f>E17+'APORTES 2026'!K28</f>
        <v>1505</v>
      </c>
      <c r="H17" s="70"/>
      <c r="I17" s="73"/>
      <c r="J17" s="83">
        <f>J16+G17+H17-I17</f>
        <v>20992.67</v>
      </c>
      <c r="K17" s="71"/>
    </row>
    <row r="18" spans="1:12" ht="15.75" thickBot="1" x14ac:dyDescent="0.35">
      <c r="A18" s="95"/>
      <c r="B18" s="70" t="s">
        <v>51</v>
      </c>
      <c r="C18" s="70" t="s">
        <v>44</v>
      </c>
      <c r="D18" s="70" t="s">
        <v>45</v>
      </c>
      <c r="E18" s="71">
        <f>'APORTES 2026'!L29</f>
        <v>1500</v>
      </c>
      <c r="F18" s="71">
        <f t="shared" si="1"/>
        <v>20705</v>
      </c>
      <c r="G18" s="71">
        <f>E18</f>
        <v>1500</v>
      </c>
      <c r="H18" s="70"/>
      <c r="I18" s="73"/>
      <c r="J18" s="73">
        <f>J17+G18+H18-I18</f>
        <v>22492.67</v>
      </c>
      <c r="K18" s="71"/>
    </row>
    <row r="19" spans="1:12" ht="15.75" thickBot="1" x14ac:dyDescent="0.35">
      <c r="A19" s="95"/>
      <c r="B19" s="70" t="s">
        <v>52</v>
      </c>
      <c r="C19" s="70" t="s">
        <v>44</v>
      </c>
      <c r="D19" s="70" t="s">
        <v>45</v>
      </c>
      <c r="E19" s="71">
        <f>'APORTES 2026'!N28</f>
        <v>1500</v>
      </c>
      <c r="F19" s="71">
        <f t="shared" si="1"/>
        <v>22205</v>
      </c>
      <c r="G19" s="71">
        <f>E19+'APORTES 2026'!O28</f>
        <v>1520</v>
      </c>
      <c r="H19" s="70"/>
      <c r="I19" s="73"/>
      <c r="J19" s="73">
        <f t="shared" si="3"/>
        <v>24012.67</v>
      </c>
      <c r="K19" s="71"/>
      <c r="L19" s="68">
        <v>24013.82</v>
      </c>
    </row>
    <row r="20" spans="1:12" ht="15.75" thickBot="1" x14ac:dyDescent="0.35">
      <c r="A20" s="95"/>
      <c r="B20" s="70" t="s">
        <v>53</v>
      </c>
      <c r="C20" s="70" t="s">
        <v>44</v>
      </c>
      <c r="D20" s="70" t="s">
        <v>45</v>
      </c>
      <c r="E20" s="71">
        <f>'APORTES 2026'!P28</f>
        <v>1600</v>
      </c>
      <c r="F20" s="71">
        <f t="shared" si="1"/>
        <v>23805</v>
      </c>
      <c r="G20" s="71">
        <f>E20+'APORTES 2026'!Q28</f>
        <v>1605</v>
      </c>
      <c r="H20" s="70"/>
      <c r="I20" s="73"/>
      <c r="J20" s="73">
        <f t="shared" si="3"/>
        <v>25617.67</v>
      </c>
      <c r="K20" s="71"/>
    </row>
    <row r="21" spans="1:12" ht="15.75" thickBot="1" x14ac:dyDescent="0.35">
      <c r="A21" s="95"/>
      <c r="B21" s="70" t="s">
        <v>55</v>
      </c>
      <c r="C21" s="70" t="s">
        <v>44</v>
      </c>
      <c r="D21" s="70" t="s">
        <v>45</v>
      </c>
      <c r="E21" s="71"/>
      <c r="F21" s="71">
        <f t="shared" si="1"/>
        <v>23805</v>
      </c>
      <c r="G21" s="70"/>
      <c r="H21" s="70"/>
      <c r="I21" s="73"/>
      <c r="J21" s="73">
        <f t="shared" si="3"/>
        <v>25617.67</v>
      </c>
      <c r="K21" s="71"/>
    </row>
    <row r="22" spans="1:12" ht="15.75" thickBot="1" x14ac:dyDescent="0.35">
      <c r="A22" s="95"/>
      <c r="B22" s="70" t="s">
        <v>61</v>
      </c>
      <c r="C22" s="70" t="s">
        <v>44</v>
      </c>
      <c r="D22" s="70" t="s">
        <v>45</v>
      </c>
      <c r="E22" s="71"/>
      <c r="F22" s="71">
        <f t="shared" si="1"/>
        <v>23805</v>
      </c>
      <c r="G22" s="70"/>
      <c r="H22" s="70"/>
      <c r="I22" s="73"/>
      <c r="J22" s="73">
        <f t="shared" si="3"/>
        <v>25617.67</v>
      </c>
      <c r="K22" s="71"/>
    </row>
    <row r="23" spans="1:12" ht="15.75" thickBot="1" x14ac:dyDescent="0.35">
      <c r="A23" s="95"/>
      <c r="B23" s="70" t="s">
        <v>56</v>
      </c>
      <c r="C23" s="70" t="s">
        <v>44</v>
      </c>
      <c r="D23" s="70" t="s">
        <v>45</v>
      </c>
      <c r="E23" s="71"/>
      <c r="F23" s="71">
        <f t="shared" si="1"/>
        <v>23805</v>
      </c>
      <c r="G23" s="70"/>
      <c r="H23" s="70"/>
      <c r="I23" s="73"/>
      <c r="J23" s="73">
        <f t="shared" si="3"/>
        <v>25617.67</v>
      </c>
      <c r="K23" s="71"/>
    </row>
    <row r="24" spans="1:12" ht="15.75" thickBot="1" x14ac:dyDescent="0.35">
      <c r="A24" s="95"/>
      <c r="B24" s="70" t="s">
        <v>57</v>
      </c>
      <c r="C24" s="70" t="s">
        <v>44</v>
      </c>
      <c r="D24" s="70" t="s">
        <v>45</v>
      </c>
      <c r="E24" s="71"/>
      <c r="F24" s="71">
        <f t="shared" si="1"/>
        <v>23805</v>
      </c>
      <c r="G24" s="70"/>
      <c r="H24" s="70"/>
      <c r="I24" s="73"/>
      <c r="J24" s="73">
        <f t="shared" si="3"/>
        <v>25617.67</v>
      </c>
      <c r="K24" s="71"/>
    </row>
    <row r="25" spans="1:12" ht="15.75" thickBot="1" x14ac:dyDescent="0.35">
      <c r="A25" s="96"/>
      <c r="B25" s="70" t="s">
        <v>58</v>
      </c>
      <c r="C25" s="70" t="s">
        <v>44</v>
      </c>
      <c r="D25" s="70" t="s">
        <v>45</v>
      </c>
      <c r="E25" s="71"/>
      <c r="F25" s="71">
        <f t="shared" si="1"/>
        <v>23805</v>
      </c>
      <c r="G25" s="70"/>
      <c r="H25" s="70"/>
      <c r="I25" s="73"/>
      <c r="J25" s="73">
        <f t="shared" si="3"/>
        <v>25617.67</v>
      </c>
      <c r="K25" s="71"/>
      <c r="L25" s="60"/>
    </row>
    <row r="26" spans="1:12" ht="15.75" thickBot="1" x14ac:dyDescent="0.35">
      <c r="A26" s="6"/>
      <c r="B26" s="6"/>
      <c r="C26" s="6"/>
      <c r="D26" s="6"/>
      <c r="E26" s="66"/>
      <c r="F26" s="66"/>
      <c r="G26" s="6"/>
      <c r="H26" s="6"/>
      <c r="I26" s="67"/>
      <c r="J26" s="67">
        <f t="shared" ref="J26:J30" si="4">J25+G26-I26</f>
        <v>25617.67</v>
      </c>
      <c r="K26" s="66"/>
    </row>
    <row r="27" spans="1:12" ht="15.75" thickBot="1" x14ac:dyDescent="0.35">
      <c r="A27" s="6"/>
      <c r="B27" s="6"/>
      <c r="C27" s="6"/>
      <c r="D27" s="6"/>
      <c r="E27" s="66"/>
      <c r="F27" s="66"/>
      <c r="G27" s="6"/>
      <c r="H27" s="6"/>
      <c r="I27" s="67"/>
      <c r="J27" s="67">
        <f t="shared" si="4"/>
        <v>25617.67</v>
      </c>
      <c r="K27" s="66"/>
    </row>
    <row r="28" spans="1:12" ht="15.75" thickBot="1" x14ac:dyDescent="0.35">
      <c r="A28" s="6"/>
      <c r="B28" s="6"/>
      <c r="C28" s="6"/>
      <c r="D28" s="6"/>
      <c r="E28" s="66"/>
      <c r="F28" s="66"/>
      <c r="G28" s="6"/>
      <c r="H28" s="6"/>
      <c r="I28" s="67"/>
      <c r="J28" s="67">
        <f t="shared" si="4"/>
        <v>25617.67</v>
      </c>
      <c r="K28" s="66"/>
    </row>
    <row r="29" spans="1:12" ht="15.75" thickBot="1" x14ac:dyDescent="0.35">
      <c r="A29" s="6"/>
      <c r="B29" s="6"/>
      <c r="C29" s="6"/>
      <c r="D29" s="6"/>
      <c r="E29" s="66"/>
      <c r="F29" s="66"/>
      <c r="G29" s="6"/>
      <c r="H29" s="6"/>
      <c r="I29" s="67"/>
      <c r="J29" s="67">
        <f t="shared" si="4"/>
        <v>25617.67</v>
      </c>
      <c r="K29" s="66"/>
    </row>
    <row r="30" spans="1:12" ht="15.75" thickBot="1" x14ac:dyDescent="0.35">
      <c r="A30" s="6"/>
      <c r="B30" s="6"/>
      <c r="C30" s="6"/>
      <c r="D30" s="6"/>
      <c r="E30" s="66"/>
      <c r="F30" s="66"/>
      <c r="G30" s="6"/>
      <c r="H30" s="6"/>
      <c r="I30" s="67"/>
      <c r="J30" s="67">
        <f t="shared" si="4"/>
        <v>25617.67</v>
      </c>
      <c r="K30" s="66"/>
    </row>
  </sheetData>
  <mergeCells count="6">
    <mergeCell ref="K1:K2"/>
    <mergeCell ref="A3:A13"/>
    <mergeCell ref="A14:A25"/>
    <mergeCell ref="E1:F1"/>
    <mergeCell ref="G1:J1"/>
    <mergeCell ref="A1:D1"/>
  </mergeCells>
  <phoneticPr fontId="9" type="noConversion"/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02EE7-CDED-4121-8DAE-C3AABB847416}">
  <dimension ref="A1:AE29"/>
  <sheetViews>
    <sheetView zoomScaleNormal="100" workbookViewId="0">
      <selection activeCell="P30" sqref="P30"/>
    </sheetView>
  </sheetViews>
  <sheetFormatPr baseColWidth="10" defaultRowHeight="16.5" x14ac:dyDescent="0.3"/>
  <cols>
    <col min="1" max="1" width="5.140625" style="10" bestFit="1" customWidth="1"/>
    <col min="2" max="2" width="36" style="1" bestFit="1" customWidth="1"/>
    <col min="3" max="3" width="17" style="11" customWidth="1"/>
    <col min="4" max="4" width="15.42578125" style="12" bestFit="1" customWidth="1"/>
    <col min="5" max="5" width="11" style="29" bestFit="1" customWidth="1"/>
    <col min="6" max="6" width="14.140625" style="29" bestFit="1" customWidth="1"/>
    <col min="7" max="7" width="11" style="28" bestFit="1" customWidth="1"/>
    <col min="8" max="8" width="15.42578125" style="12" bestFit="1" customWidth="1"/>
    <col min="9" max="9" width="11" style="12" bestFit="1" customWidth="1"/>
    <col min="10" max="10" width="15.42578125" style="53" bestFit="1" customWidth="1"/>
    <col min="11" max="11" width="9.7109375" style="12" bestFit="1" customWidth="1"/>
    <col min="12" max="12" width="14.140625" style="12" bestFit="1" customWidth="1"/>
    <col min="13" max="13" width="8.5703125" style="12" customWidth="1"/>
    <col min="14" max="14" width="14.140625" style="12" bestFit="1" customWidth="1"/>
    <col min="15" max="15" width="11" style="12" bestFit="1" customWidth="1"/>
    <col min="16" max="16" width="14.140625" style="12" bestFit="1" customWidth="1"/>
    <col min="17" max="17" width="9.7109375" style="12" bestFit="1" customWidth="1"/>
    <col min="18" max="18" width="12.28515625" style="12" bestFit="1" customWidth="1"/>
    <col min="19" max="19" width="12.28515625" style="12" customWidth="1"/>
    <col min="20" max="20" width="8.5703125" style="12" bestFit="1" customWidth="1"/>
    <col min="21" max="21" width="8.5703125" style="12" customWidth="1"/>
    <col min="22" max="22" width="8.5703125" style="12" bestFit="1" customWidth="1"/>
    <col min="23" max="23" width="8.5703125" style="12" customWidth="1"/>
    <col min="24" max="24" width="8.5703125" style="12" bestFit="1" customWidth="1"/>
    <col min="25" max="25" width="8.5703125" style="12" customWidth="1"/>
    <col min="26" max="26" width="15.42578125" style="12" bestFit="1" customWidth="1"/>
    <col min="27" max="27" width="8.5703125" style="12" customWidth="1"/>
    <col min="28" max="28" width="15.42578125" style="11" bestFit="1" customWidth="1"/>
    <col min="29" max="29" width="19.140625" style="26" bestFit="1" customWidth="1"/>
    <col min="30" max="30" width="11.42578125" style="1"/>
    <col min="31" max="31" width="12.28515625" style="1" bestFit="1" customWidth="1"/>
    <col min="32" max="16384" width="11.42578125" style="1"/>
  </cols>
  <sheetData>
    <row r="1" spans="1:29" s="20" customFormat="1" ht="17.25" thickBot="1" x14ac:dyDescent="0.35">
      <c r="A1" s="18" t="s">
        <v>13</v>
      </c>
      <c r="B1" s="104" t="s">
        <v>0</v>
      </c>
      <c r="C1" s="106" t="s">
        <v>36</v>
      </c>
      <c r="D1" s="108" t="s">
        <v>1</v>
      </c>
      <c r="E1" s="109"/>
      <c r="F1" s="110" t="s">
        <v>2</v>
      </c>
      <c r="G1" s="111"/>
      <c r="H1" s="112" t="s">
        <v>3</v>
      </c>
      <c r="I1" s="113"/>
      <c r="J1" s="121" t="s">
        <v>4</v>
      </c>
      <c r="K1" s="122"/>
      <c r="L1" s="119" t="s">
        <v>5</v>
      </c>
      <c r="M1" s="120"/>
      <c r="N1" s="115" t="s">
        <v>6</v>
      </c>
      <c r="O1" s="116"/>
      <c r="P1" s="115" t="s">
        <v>7</v>
      </c>
      <c r="Q1" s="116"/>
      <c r="R1" s="115" t="s">
        <v>8</v>
      </c>
      <c r="S1" s="116"/>
      <c r="T1" s="115" t="s">
        <v>9</v>
      </c>
      <c r="U1" s="116"/>
      <c r="V1" s="115" t="s">
        <v>10</v>
      </c>
      <c r="W1" s="116"/>
      <c r="X1" s="115" t="s">
        <v>11</v>
      </c>
      <c r="Y1" s="116"/>
      <c r="Z1" s="115" t="s">
        <v>12</v>
      </c>
      <c r="AA1" s="116"/>
      <c r="AB1" s="117" t="s">
        <v>37</v>
      </c>
      <c r="AC1" s="33" t="s">
        <v>38</v>
      </c>
    </row>
    <row r="2" spans="1:29" s="20" customFormat="1" ht="17.25" thickBot="1" x14ac:dyDescent="0.35">
      <c r="A2" s="18"/>
      <c r="B2" s="105"/>
      <c r="C2" s="107"/>
      <c r="D2" s="35" t="s">
        <v>40</v>
      </c>
      <c r="E2" s="36" t="s">
        <v>41</v>
      </c>
      <c r="F2" s="40" t="s">
        <v>40</v>
      </c>
      <c r="G2" s="41" t="s">
        <v>41</v>
      </c>
      <c r="H2" s="45" t="s">
        <v>40</v>
      </c>
      <c r="I2" s="45" t="s">
        <v>41</v>
      </c>
      <c r="J2" s="51" t="s">
        <v>40</v>
      </c>
      <c r="K2" s="49" t="s">
        <v>41</v>
      </c>
      <c r="L2" s="85" t="s">
        <v>40</v>
      </c>
      <c r="M2" s="85" t="s">
        <v>41</v>
      </c>
      <c r="N2" s="19" t="s">
        <v>40</v>
      </c>
      <c r="O2" s="19" t="s">
        <v>41</v>
      </c>
      <c r="P2" s="19" t="s">
        <v>40</v>
      </c>
      <c r="Q2" s="19" t="s">
        <v>41</v>
      </c>
      <c r="R2" s="19" t="s">
        <v>40</v>
      </c>
      <c r="S2" s="19" t="s">
        <v>41</v>
      </c>
      <c r="T2" s="19" t="s">
        <v>40</v>
      </c>
      <c r="U2" s="19" t="s">
        <v>41</v>
      </c>
      <c r="V2" s="19" t="s">
        <v>63</v>
      </c>
      <c r="W2" s="19" t="s">
        <v>41</v>
      </c>
      <c r="X2" s="19" t="s">
        <v>40</v>
      </c>
      <c r="Y2" s="19" t="s">
        <v>41</v>
      </c>
      <c r="Z2" s="19" t="s">
        <v>64</v>
      </c>
      <c r="AA2" s="19" t="s">
        <v>41</v>
      </c>
      <c r="AB2" s="118"/>
      <c r="AC2" s="33"/>
    </row>
    <row r="3" spans="1:29" ht="17.25" thickBot="1" x14ac:dyDescent="0.35">
      <c r="A3" s="15">
        <f>SOCIOS!A2</f>
        <v>1</v>
      </c>
      <c r="B3" s="27" t="str">
        <f>SOCIOS!B2</f>
        <v>Filomena Valdez Curi</v>
      </c>
      <c r="C3" s="14">
        <f>'APORTES 2025'!O2</f>
        <v>1100</v>
      </c>
      <c r="D3" s="37">
        <v>100</v>
      </c>
      <c r="E3" s="38"/>
      <c r="F3" s="42">
        <v>100</v>
      </c>
      <c r="G3" s="42">
        <v>5</v>
      </c>
      <c r="H3" s="46">
        <v>100</v>
      </c>
      <c r="I3" s="46"/>
      <c r="J3" s="52">
        <v>100</v>
      </c>
      <c r="K3" s="50"/>
      <c r="L3" s="86">
        <v>100</v>
      </c>
      <c r="M3" s="86"/>
      <c r="N3" s="17">
        <v>100</v>
      </c>
      <c r="O3" s="17">
        <v>5</v>
      </c>
      <c r="P3" s="17">
        <v>100</v>
      </c>
      <c r="Q3" s="17"/>
      <c r="R3" s="17">
        <v>0</v>
      </c>
      <c r="S3" s="17"/>
      <c r="T3" s="17">
        <v>0</v>
      </c>
      <c r="U3" s="17"/>
      <c r="V3" s="17">
        <v>0</v>
      </c>
      <c r="W3" s="17"/>
      <c r="X3" s="17">
        <v>0</v>
      </c>
      <c r="Y3" s="17"/>
      <c r="Z3" s="17">
        <v>0</v>
      </c>
      <c r="AA3" s="17"/>
      <c r="AB3" s="14">
        <f>D3+F3+H3+J3+L3+N3+P3+R3+T3+V3+X3+Z3</f>
        <v>700</v>
      </c>
      <c r="AC3" s="34">
        <f t="shared" ref="AC3:AC27" si="0">C3+AB3</f>
        <v>1800</v>
      </c>
    </row>
    <row r="4" spans="1:29" ht="17.25" thickBot="1" x14ac:dyDescent="0.35">
      <c r="A4" s="15">
        <f>SOCIOS!A3</f>
        <v>2</v>
      </c>
      <c r="B4" s="27" t="str">
        <f>SOCIOS!B3</f>
        <v>Efrain Infante Mejia</v>
      </c>
      <c r="C4" s="14">
        <f>'APORTES 2025'!O3</f>
        <v>1100</v>
      </c>
      <c r="D4" s="37">
        <v>100</v>
      </c>
      <c r="E4" s="38"/>
      <c r="F4" s="43">
        <v>100</v>
      </c>
      <c r="G4" s="44"/>
      <c r="H4" s="46">
        <v>100</v>
      </c>
      <c r="I4" s="46"/>
      <c r="J4" s="52">
        <v>100</v>
      </c>
      <c r="K4" s="50"/>
      <c r="L4" s="86">
        <v>100</v>
      </c>
      <c r="M4" s="86"/>
      <c r="N4" s="17">
        <v>100</v>
      </c>
      <c r="O4" s="17">
        <v>5</v>
      </c>
      <c r="P4" s="17">
        <v>100</v>
      </c>
      <c r="Q4" s="17"/>
      <c r="R4" s="17">
        <v>0</v>
      </c>
      <c r="S4" s="17"/>
      <c r="T4" s="17">
        <v>0</v>
      </c>
      <c r="U4" s="17"/>
      <c r="V4" s="17">
        <v>0</v>
      </c>
      <c r="W4" s="17"/>
      <c r="X4" s="17">
        <v>0</v>
      </c>
      <c r="Y4" s="17"/>
      <c r="Z4" s="17">
        <v>0</v>
      </c>
      <c r="AA4" s="17"/>
      <c r="AB4" s="14">
        <f t="shared" ref="AB4:AB27" si="1">D4+F4+H4+J4+L4+N4+P4+R4+T4+V4+X4+Z4</f>
        <v>700</v>
      </c>
      <c r="AC4" s="34">
        <f t="shared" si="0"/>
        <v>1800</v>
      </c>
    </row>
    <row r="5" spans="1:29" ht="17.25" thickBot="1" x14ac:dyDescent="0.35">
      <c r="A5" s="15">
        <f>SOCIOS!A4</f>
        <v>3</v>
      </c>
      <c r="B5" s="27" t="str">
        <f>SOCIOS!B4</f>
        <v>Estefani Corali Infante Fernández</v>
      </c>
      <c r="C5" s="14">
        <f>'APORTES 2025'!O4</f>
        <v>1100</v>
      </c>
      <c r="D5" s="37">
        <v>100</v>
      </c>
      <c r="E5" s="38"/>
      <c r="F5" s="43">
        <v>100</v>
      </c>
      <c r="G5" s="44"/>
      <c r="H5" s="46">
        <v>100</v>
      </c>
      <c r="I5" s="46"/>
      <c r="J5" s="52">
        <v>100</v>
      </c>
      <c r="K5" s="50"/>
      <c r="L5" s="86">
        <v>100</v>
      </c>
      <c r="M5" s="86"/>
      <c r="N5" s="17">
        <v>100</v>
      </c>
      <c r="O5" s="17">
        <v>5</v>
      </c>
      <c r="P5" s="17">
        <v>100</v>
      </c>
      <c r="Q5" s="17"/>
      <c r="R5" s="17">
        <v>0</v>
      </c>
      <c r="S5" s="17"/>
      <c r="T5" s="17">
        <v>0</v>
      </c>
      <c r="U5" s="17"/>
      <c r="V5" s="17">
        <v>0</v>
      </c>
      <c r="W5" s="17"/>
      <c r="X5" s="17">
        <v>0</v>
      </c>
      <c r="Y5" s="17"/>
      <c r="Z5" s="17">
        <v>0</v>
      </c>
      <c r="AA5" s="17"/>
      <c r="AB5" s="14">
        <f t="shared" si="1"/>
        <v>700</v>
      </c>
      <c r="AC5" s="34">
        <f t="shared" si="0"/>
        <v>1800</v>
      </c>
    </row>
    <row r="6" spans="1:29" ht="17.25" thickBot="1" x14ac:dyDescent="0.35">
      <c r="A6" s="15">
        <f>SOCIOS!A5</f>
        <v>4</v>
      </c>
      <c r="B6" s="27" t="str">
        <f>SOCIOS!B5</f>
        <v>Juan Carlos Cuba Sulca</v>
      </c>
      <c r="C6" s="14">
        <f>'APORTES 2025'!O5</f>
        <v>1100</v>
      </c>
      <c r="D6" s="37">
        <v>100</v>
      </c>
      <c r="E6" s="38">
        <v>5</v>
      </c>
      <c r="F6" s="42">
        <v>100</v>
      </c>
      <c r="G6" s="44">
        <v>5</v>
      </c>
      <c r="H6" s="47">
        <v>100</v>
      </c>
      <c r="I6" s="47">
        <v>5</v>
      </c>
      <c r="J6" s="52">
        <v>100</v>
      </c>
      <c r="K6" s="50">
        <v>5</v>
      </c>
      <c r="L6" s="86">
        <v>100</v>
      </c>
      <c r="M6" s="86"/>
      <c r="N6" s="17">
        <v>100</v>
      </c>
      <c r="O6" s="17"/>
      <c r="P6" s="17">
        <v>100</v>
      </c>
      <c r="Q6" s="17"/>
      <c r="R6" s="17">
        <v>0</v>
      </c>
      <c r="S6" s="17"/>
      <c r="T6" s="17">
        <v>0</v>
      </c>
      <c r="U6" s="17"/>
      <c r="V6" s="17">
        <v>0</v>
      </c>
      <c r="W6" s="17"/>
      <c r="X6" s="17">
        <v>0</v>
      </c>
      <c r="Y6" s="17"/>
      <c r="Z6" s="17">
        <v>0</v>
      </c>
      <c r="AA6" s="17"/>
      <c r="AB6" s="14">
        <f t="shared" si="1"/>
        <v>700</v>
      </c>
      <c r="AC6" s="34">
        <f t="shared" si="0"/>
        <v>1800</v>
      </c>
    </row>
    <row r="7" spans="1:29" ht="17.25" thickBot="1" x14ac:dyDescent="0.35">
      <c r="A7" s="15">
        <f>SOCIOS!A6</f>
        <v>5</v>
      </c>
      <c r="B7" s="27" t="str">
        <f>SOCIOS!B6</f>
        <v>Julio Cesar Fernandez Valdez</v>
      </c>
      <c r="C7" s="14">
        <f>'APORTES 2025'!O6</f>
        <v>1100</v>
      </c>
      <c r="D7" s="37">
        <v>100</v>
      </c>
      <c r="E7" s="38">
        <v>5</v>
      </c>
      <c r="F7" s="43">
        <v>100</v>
      </c>
      <c r="G7" s="44"/>
      <c r="H7" s="46">
        <v>100</v>
      </c>
      <c r="I7" s="46"/>
      <c r="J7" s="52">
        <v>100</v>
      </c>
      <c r="K7" s="50"/>
      <c r="L7" s="86">
        <v>100</v>
      </c>
      <c r="M7" s="86"/>
      <c r="N7" s="17">
        <v>100</v>
      </c>
      <c r="O7" s="17"/>
      <c r="P7" s="17">
        <v>100</v>
      </c>
      <c r="Q7" s="17"/>
      <c r="R7" s="17">
        <v>0</v>
      </c>
      <c r="S7" s="17"/>
      <c r="T7" s="17">
        <v>0</v>
      </c>
      <c r="U7" s="17"/>
      <c r="V7" s="17">
        <v>0</v>
      </c>
      <c r="W7" s="17"/>
      <c r="X7" s="17">
        <v>0</v>
      </c>
      <c r="Y7" s="17"/>
      <c r="Z7" s="17">
        <v>0</v>
      </c>
      <c r="AA7" s="17"/>
      <c r="AB7" s="14">
        <f t="shared" si="1"/>
        <v>700</v>
      </c>
      <c r="AC7" s="34">
        <f t="shared" si="0"/>
        <v>1800</v>
      </c>
    </row>
    <row r="8" spans="1:29" s="79" customFormat="1" ht="17.25" thickBot="1" x14ac:dyDescent="0.35">
      <c r="A8" s="75">
        <f>SOCIOS!A7</f>
        <v>6</v>
      </c>
      <c r="B8" s="76" t="str">
        <f>SOCIOS!B7</f>
        <v>Mariela Fernández Valdez</v>
      </c>
      <c r="C8" s="77">
        <f>'APORTES 2025'!O7</f>
        <v>1100</v>
      </c>
      <c r="D8" s="37">
        <v>100</v>
      </c>
      <c r="E8" s="38"/>
      <c r="F8" s="43">
        <v>100</v>
      </c>
      <c r="G8" s="43"/>
      <c r="H8" s="48">
        <v>100</v>
      </c>
      <c r="I8" s="48"/>
      <c r="J8" s="52">
        <v>100</v>
      </c>
      <c r="K8" s="52"/>
      <c r="L8" s="87">
        <v>100</v>
      </c>
      <c r="M8" s="87"/>
      <c r="N8" s="55">
        <v>100</v>
      </c>
      <c r="O8" s="55">
        <v>5</v>
      </c>
      <c r="P8" s="55">
        <v>100</v>
      </c>
      <c r="Q8" s="55"/>
      <c r="R8" s="55">
        <v>0</v>
      </c>
      <c r="S8" s="55"/>
      <c r="T8" s="55">
        <v>0</v>
      </c>
      <c r="U8" s="55"/>
      <c r="V8" s="55">
        <v>0</v>
      </c>
      <c r="W8" s="55"/>
      <c r="X8" s="55">
        <v>0</v>
      </c>
      <c r="Y8" s="55"/>
      <c r="Z8" s="55">
        <v>0</v>
      </c>
      <c r="AA8" s="55"/>
      <c r="AB8" s="77">
        <f t="shared" si="1"/>
        <v>700</v>
      </c>
      <c r="AC8" s="78">
        <f t="shared" si="0"/>
        <v>1800</v>
      </c>
    </row>
    <row r="9" spans="1:29" ht="17.25" thickBot="1" x14ac:dyDescent="0.35">
      <c r="A9" s="15">
        <f>SOCIOS!A8</f>
        <v>7</v>
      </c>
      <c r="B9" s="27" t="str">
        <f>SOCIOS!B8</f>
        <v>Michael Fernández Valdez</v>
      </c>
      <c r="C9" s="14">
        <f>'APORTES 2025'!O8</f>
        <v>1100</v>
      </c>
      <c r="D9" s="37">
        <v>100</v>
      </c>
      <c r="E9" s="38">
        <v>5</v>
      </c>
      <c r="F9" s="42">
        <v>100</v>
      </c>
      <c r="G9" s="42"/>
      <c r="H9" s="48">
        <v>100</v>
      </c>
      <c r="I9" s="48"/>
      <c r="J9" s="52">
        <v>100</v>
      </c>
      <c r="K9" s="50"/>
      <c r="L9" s="86">
        <v>100</v>
      </c>
      <c r="M9" s="86"/>
      <c r="N9" s="17">
        <v>100</v>
      </c>
      <c r="O9" s="17"/>
      <c r="P9" s="17">
        <v>100</v>
      </c>
      <c r="Q9" s="17"/>
      <c r="R9" s="17">
        <v>0</v>
      </c>
      <c r="S9" s="17"/>
      <c r="T9" s="17">
        <v>0</v>
      </c>
      <c r="U9" s="17"/>
      <c r="V9" s="17">
        <v>0</v>
      </c>
      <c r="W9" s="17"/>
      <c r="X9" s="17">
        <v>0</v>
      </c>
      <c r="Y9" s="17"/>
      <c r="Z9" s="17">
        <v>0</v>
      </c>
      <c r="AA9" s="17"/>
      <c r="AB9" s="14">
        <f t="shared" si="1"/>
        <v>700</v>
      </c>
      <c r="AC9" s="34">
        <f t="shared" si="0"/>
        <v>1800</v>
      </c>
    </row>
    <row r="10" spans="1:29" ht="17.25" thickBot="1" x14ac:dyDescent="0.35">
      <c r="A10" s="15">
        <f>SOCIOS!A9</f>
        <v>8</v>
      </c>
      <c r="B10" s="27" t="str">
        <f>SOCIOS!B9</f>
        <v>Paul Jimmy Auccapuclla Barrientos</v>
      </c>
      <c r="C10" s="14">
        <f>'APORTES 2025'!O9</f>
        <v>1100</v>
      </c>
      <c r="D10" s="37">
        <v>100</v>
      </c>
      <c r="E10" s="38">
        <v>5</v>
      </c>
      <c r="F10" s="43">
        <v>100</v>
      </c>
      <c r="G10" s="44"/>
      <c r="H10" s="46">
        <v>100</v>
      </c>
      <c r="I10" s="46"/>
      <c r="J10" s="52">
        <v>100</v>
      </c>
      <c r="K10" s="50"/>
      <c r="L10" s="86">
        <v>100</v>
      </c>
      <c r="M10" s="86"/>
      <c r="N10" s="17">
        <v>100</v>
      </c>
      <c r="O10" s="17"/>
      <c r="P10" s="17">
        <v>100</v>
      </c>
      <c r="Q10" s="17"/>
      <c r="R10" s="17">
        <v>0</v>
      </c>
      <c r="S10" s="17"/>
      <c r="T10" s="17">
        <v>0</v>
      </c>
      <c r="U10" s="17"/>
      <c r="V10" s="17">
        <v>0</v>
      </c>
      <c r="W10" s="17"/>
      <c r="X10" s="17">
        <v>0</v>
      </c>
      <c r="Y10" s="17"/>
      <c r="Z10" s="17">
        <v>0</v>
      </c>
      <c r="AA10" s="17"/>
      <c r="AB10" s="14">
        <f t="shared" si="1"/>
        <v>700</v>
      </c>
      <c r="AC10" s="34">
        <f t="shared" si="0"/>
        <v>1800</v>
      </c>
    </row>
    <row r="11" spans="1:29" ht="17.25" thickBot="1" x14ac:dyDescent="0.35">
      <c r="A11" s="15">
        <f>SOCIOS!A10</f>
        <v>9</v>
      </c>
      <c r="B11" s="27" t="str">
        <f>SOCIOS!B10</f>
        <v>Saul Godoy Mallqui</v>
      </c>
      <c r="C11" s="14">
        <f>'APORTES 2025'!O10</f>
        <v>1100</v>
      </c>
      <c r="D11" s="37">
        <v>100</v>
      </c>
      <c r="E11" s="38">
        <v>5</v>
      </c>
      <c r="F11" s="43">
        <v>100</v>
      </c>
      <c r="G11" s="44"/>
      <c r="H11" s="47">
        <v>100</v>
      </c>
      <c r="I11" s="47">
        <v>5</v>
      </c>
      <c r="J11" s="52">
        <v>100</v>
      </c>
      <c r="K11" s="50"/>
      <c r="L11" s="86">
        <v>100</v>
      </c>
      <c r="M11" s="86"/>
      <c r="N11" s="17">
        <v>100</v>
      </c>
      <c r="O11" s="17"/>
      <c r="P11" s="17">
        <v>100</v>
      </c>
      <c r="Q11" s="17"/>
      <c r="R11" s="17">
        <v>0</v>
      </c>
      <c r="S11" s="17"/>
      <c r="T11" s="17">
        <v>0</v>
      </c>
      <c r="U11" s="17"/>
      <c r="V11" s="17">
        <v>0</v>
      </c>
      <c r="W11" s="17"/>
      <c r="X11" s="17">
        <v>0</v>
      </c>
      <c r="Y11" s="17"/>
      <c r="Z11" s="17">
        <v>0</v>
      </c>
      <c r="AA11" s="17"/>
      <c r="AB11" s="14">
        <f t="shared" si="1"/>
        <v>700</v>
      </c>
      <c r="AC11" s="34">
        <f t="shared" si="0"/>
        <v>1800</v>
      </c>
    </row>
    <row r="12" spans="1:29" ht="17.25" thickBot="1" x14ac:dyDescent="0.35">
      <c r="A12" s="15">
        <f>SOCIOS!A11</f>
        <v>10</v>
      </c>
      <c r="B12" s="27" t="str">
        <f>SOCIOS!B11</f>
        <v>Sayda Quispe Curi</v>
      </c>
      <c r="C12" s="14">
        <f>'APORTES 2025'!O11</f>
        <v>1100</v>
      </c>
      <c r="D12" s="37">
        <v>100</v>
      </c>
      <c r="E12" s="38">
        <v>5</v>
      </c>
      <c r="F12" s="42">
        <v>100</v>
      </c>
      <c r="G12" s="42">
        <v>5</v>
      </c>
      <c r="H12" s="46">
        <v>100</v>
      </c>
      <c r="I12" s="46"/>
      <c r="J12" s="52">
        <v>100</v>
      </c>
      <c r="K12" s="50"/>
      <c r="L12" s="86">
        <v>100</v>
      </c>
      <c r="M12" s="86"/>
      <c r="N12" s="17">
        <v>100</v>
      </c>
      <c r="O12" s="17"/>
      <c r="P12" s="17">
        <v>100</v>
      </c>
      <c r="Q12" s="17"/>
      <c r="R12" s="17">
        <v>0</v>
      </c>
      <c r="S12" s="17"/>
      <c r="T12" s="17">
        <v>0</v>
      </c>
      <c r="U12" s="17"/>
      <c r="V12" s="17">
        <v>0</v>
      </c>
      <c r="W12" s="17"/>
      <c r="X12" s="17">
        <v>0</v>
      </c>
      <c r="Y12" s="17"/>
      <c r="Z12" s="17">
        <v>0</v>
      </c>
      <c r="AA12" s="17"/>
      <c r="AB12" s="14">
        <f t="shared" si="1"/>
        <v>700</v>
      </c>
      <c r="AC12" s="34">
        <f t="shared" si="0"/>
        <v>1800</v>
      </c>
    </row>
    <row r="13" spans="1:29" ht="17.25" thickBot="1" x14ac:dyDescent="0.35">
      <c r="A13" s="15">
        <f>SOCIOS!A12</f>
        <v>11</v>
      </c>
      <c r="B13" s="27" t="str">
        <f>SOCIOS!B12</f>
        <v>Yeli Melusca Algoner Mejia</v>
      </c>
      <c r="C13" s="14">
        <f>'APORTES 2025'!O12</f>
        <v>1100</v>
      </c>
      <c r="D13" s="37">
        <v>100</v>
      </c>
      <c r="E13" s="38">
        <v>5</v>
      </c>
      <c r="F13" s="43">
        <v>100</v>
      </c>
      <c r="G13" s="44"/>
      <c r="H13" s="46">
        <v>100</v>
      </c>
      <c r="I13" s="46"/>
      <c r="J13" s="52">
        <v>100</v>
      </c>
      <c r="K13" s="50"/>
      <c r="L13" s="86">
        <v>100</v>
      </c>
      <c r="M13" s="86"/>
      <c r="N13" s="17">
        <v>100</v>
      </c>
      <c r="O13" s="17"/>
      <c r="P13" s="17">
        <v>100</v>
      </c>
      <c r="Q13" s="17"/>
      <c r="R13" s="17">
        <v>0</v>
      </c>
      <c r="S13" s="17"/>
      <c r="T13" s="17">
        <v>0</v>
      </c>
      <c r="U13" s="17"/>
      <c r="V13" s="17">
        <v>0</v>
      </c>
      <c r="W13" s="17"/>
      <c r="X13" s="17">
        <v>0</v>
      </c>
      <c r="Y13" s="17"/>
      <c r="Z13" s="17">
        <v>0</v>
      </c>
      <c r="AA13" s="17"/>
      <c r="AB13" s="14">
        <f t="shared" si="1"/>
        <v>700</v>
      </c>
      <c r="AC13" s="34">
        <f t="shared" si="0"/>
        <v>1800</v>
      </c>
    </row>
    <row r="14" spans="1:29" ht="17.25" thickBot="1" x14ac:dyDescent="0.35">
      <c r="A14" s="15">
        <f>SOCIOS!A13</f>
        <v>12</v>
      </c>
      <c r="B14" s="27" t="str">
        <f>SOCIOS!B13</f>
        <v>Yésica Godoy Mallqui</v>
      </c>
      <c r="C14" s="14">
        <f>'APORTES 2025'!O13</f>
        <v>1100</v>
      </c>
      <c r="D14" s="37">
        <v>100</v>
      </c>
      <c r="E14" s="38">
        <v>5</v>
      </c>
      <c r="F14" s="43">
        <v>100</v>
      </c>
      <c r="G14" s="44"/>
      <c r="H14" s="47">
        <v>100</v>
      </c>
      <c r="I14" s="47"/>
      <c r="J14" s="52">
        <v>100</v>
      </c>
      <c r="K14" s="50"/>
      <c r="L14" s="86">
        <v>100</v>
      </c>
      <c r="M14" s="86"/>
      <c r="N14" s="17">
        <v>100</v>
      </c>
      <c r="O14" s="17"/>
      <c r="P14" s="17">
        <v>100</v>
      </c>
      <c r="Q14" s="17"/>
      <c r="R14" s="17">
        <v>0</v>
      </c>
      <c r="S14" s="17"/>
      <c r="T14" s="17">
        <v>0</v>
      </c>
      <c r="U14" s="17"/>
      <c r="V14" s="17">
        <v>0</v>
      </c>
      <c r="W14" s="17"/>
      <c r="X14" s="17">
        <v>0</v>
      </c>
      <c r="Y14" s="17"/>
      <c r="Z14" s="17">
        <v>0</v>
      </c>
      <c r="AA14" s="17"/>
      <c r="AB14" s="14">
        <f t="shared" si="1"/>
        <v>700</v>
      </c>
      <c r="AC14" s="34">
        <f t="shared" si="0"/>
        <v>1800</v>
      </c>
    </row>
    <row r="15" spans="1:29" ht="17.25" thickBot="1" x14ac:dyDescent="0.35">
      <c r="A15" s="15">
        <f>SOCIOS!A14</f>
        <v>13</v>
      </c>
      <c r="B15" s="27" t="str">
        <f>SOCIOS!B14</f>
        <v>Maribel Cayllahua Sulcacondor</v>
      </c>
      <c r="C15" s="14">
        <f>'APORTES 2025'!O14</f>
        <v>0</v>
      </c>
      <c r="D15" s="38">
        <v>100</v>
      </c>
      <c r="E15" s="38"/>
      <c r="F15" s="42">
        <v>100</v>
      </c>
      <c r="G15" s="42"/>
      <c r="H15" s="46">
        <v>100</v>
      </c>
      <c r="I15" s="46">
        <v>5</v>
      </c>
      <c r="J15" s="52">
        <v>100</v>
      </c>
      <c r="K15" s="50"/>
      <c r="L15" s="86">
        <v>100</v>
      </c>
      <c r="M15" s="86"/>
      <c r="N15" s="17">
        <v>100</v>
      </c>
      <c r="O15" s="17"/>
      <c r="P15" s="17">
        <v>100</v>
      </c>
      <c r="Q15" s="17"/>
      <c r="R15" s="17">
        <v>0</v>
      </c>
      <c r="S15" s="17"/>
      <c r="T15" s="17">
        <v>0</v>
      </c>
      <c r="U15" s="17"/>
      <c r="V15" s="17">
        <v>0</v>
      </c>
      <c r="W15" s="17"/>
      <c r="X15" s="17">
        <v>0</v>
      </c>
      <c r="Y15" s="17"/>
      <c r="Z15" s="17">
        <v>0</v>
      </c>
      <c r="AA15" s="17"/>
      <c r="AB15" s="14">
        <f t="shared" si="1"/>
        <v>700</v>
      </c>
      <c r="AC15" s="34">
        <f t="shared" si="0"/>
        <v>700</v>
      </c>
    </row>
    <row r="16" spans="1:29" ht="17.25" thickBot="1" x14ac:dyDescent="0.35">
      <c r="A16" s="15">
        <f>SOCIOS!A15</f>
        <v>14</v>
      </c>
      <c r="B16" s="27" t="str">
        <f>SOCIOS!B15</f>
        <v>Jose Luis Fernandez Pariona</v>
      </c>
      <c r="C16" s="14">
        <f>'APORTES 2025'!O15</f>
        <v>0</v>
      </c>
      <c r="D16" s="39">
        <v>100</v>
      </c>
      <c r="E16" s="38">
        <v>10</v>
      </c>
      <c r="F16" s="43">
        <v>100</v>
      </c>
      <c r="G16" s="44"/>
      <c r="H16" s="46">
        <v>100</v>
      </c>
      <c r="I16" s="46"/>
      <c r="J16" s="52">
        <v>100</v>
      </c>
      <c r="K16" s="50"/>
      <c r="L16" s="86">
        <v>100</v>
      </c>
      <c r="M16" s="86"/>
      <c r="N16" s="17">
        <v>100</v>
      </c>
      <c r="O16" s="17"/>
      <c r="P16" s="17">
        <v>100</v>
      </c>
      <c r="Q16" s="17"/>
      <c r="R16" s="17">
        <v>0</v>
      </c>
      <c r="S16" s="17"/>
      <c r="T16" s="17">
        <v>0</v>
      </c>
      <c r="U16" s="17"/>
      <c r="V16" s="17">
        <v>0</v>
      </c>
      <c r="W16" s="17"/>
      <c r="X16" s="17">
        <v>0</v>
      </c>
      <c r="Y16" s="17"/>
      <c r="Z16" s="17">
        <v>0</v>
      </c>
      <c r="AA16" s="17"/>
      <c r="AB16" s="14">
        <f t="shared" si="1"/>
        <v>700</v>
      </c>
      <c r="AC16" s="34">
        <f t="shared" si="0"/>
        <v>700</v>
      </c>
    </row>
    <row r="17" spans="1:31" ht="17.25" thickBot="1" x14ac:dyDescent="0.35">
      <c r="A17" s="15">
        <f>SOCIOS!A16</f>
        <v>15</v>
      </c>
      <c r="B17" s="27" t="str">
        <f>SOCIOS!B16</f>
        <v>Brith Zarella Roca Godoy</v>
      </c>
      <c r="C17" s="14">
        <f>'APORTES 2025'!O16</f>
        <v>0</v>
      </c>
      <c r="D17" s="38">
        <v>100</v>
      </c>
      <c r="E17" s="38">
        <v>5</v>
      </c>
      <c r="F17" s="43">
        <v>100</v>
      </c>
      <c r="G17" s="44"/>
      <c r="H17" s="46">
        <v>105</v>
      </c>
      <c r="I17" s="46"/>
      <c r="J17" s="52">
        <v>100</v>
      </c>
      <c r="K17" s="50"/>
      <c r="L17" s="86">
        <v>100</v>
      </c>
      <c r="M17" s="86"/>
      <c r="N17" s="17">
        <v>100</v>
      </c>
      <c r="O17" s="17"/>
      <c r="P17" s="17">
        <v>100</v>
      </c>
      <c r="Q17" s="17"/>
      <c r="R17" s="17">
        <v>0</v>
      </c>
      <c r="S17" s="17"/>
      <c r="T17" s="17">
        <v>0</v>
      </c>
      <c r="U17" s="17"/>
      <c r="V17" s="17">
        <v>0</v>
      </c>
      <c r="W17" s="17"/>
      <c r="X17" s="17">
        <v>0</v>
      </c>
      <c r="Y17" s="17"/>
      <c r="Z17" s="17">
        <v>0</v>
      </c>
      <c r="AA17" s="17"/>
      <c r="AB17" s="14">
        <f t="shared" si="1"/>
        <v>705</v>
      </c>
      <c r="AC17" s="34">
        <f t="shared" si="0"/>
        <v>705</v>
      </c>
    </row>
    <row r="18" spans="1:31" ht="17.25" thickBot="1" x14ac:dyDescent="0.35">
      <c r="A18" s="15">
        <f>SOCIOS!A17</f>
        <v>16</v>
      </c>
      <c r="B18" s="27" t="str">
        <f>SOCIOS!B17</f>
        <v>Jeferson Mendoza Quispe</v>
      </c>
      <c r="C18" s="14">
        <f>'APORTES 2025'!O17</f>
        <v>0</v>
      </c>
      <c r="D18" s="39"/>
      <c r="E18" s="38"/>
      <c r="F18" s="43"/>
      <c r="G18" s="44"/>
      <c r="H18" s="46"/>
      <c r="I18" s="46"/>
      <c r="J18" s="52"/>
      <c r="K18" s="50"/>
      <c r="L18" s="86"/>
      <c r="M18" s="86"/>
      <c r="N18" s="17"/>
      <c r="O18" s="17"/>
      <c r="P18" s="17">
        <v>100</v>
      </c>
      <c r="Q18" s="17">
        <v>5</v>
      </c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4">
        <f t="shared" si="1"/>
        <v>100</v>
      </c>
      <c r="AC18" s="34">
        <f t="shared" si="0"/>
        <v>100</v>
      </c>
    </row>
    <row r="19" spans="1:31" ht="17.25" thickBot="1" x14ac:dyDescent="0.35">
      <c r="A19" s="15">
        <f>SOCIOS!A18</f>
        <v>17</v>
      </c>
      <c r="B19" s="27">
        <f>SOCIOS!B18</f>
        <v>0</v>
      </c>
      <c r="C19" s="14">
        <f>'APORTES 2025'!O18</f>
        <v>0</v>
      </c>
      <c r="D19" s="39"/>
      <c r="E19" s="38"/>
      <c r="F19" s="43"/>
      <c r="G19" s="44"/>
      <c r="H19" s="46"/>
      <c r="I19" s="46"/>
      <c r="J19" s="52"/>
      <c r="K19" s="50"/>
      <c r="L19" s="86"/>
      <c r="M19" s="86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4">
        <f t="shared" si="1"/>
        <v>0</v>
      </c>
      <c r="AC19" s="34">
        <f t="shared" si="0"/>
        <v>0</v>
      </c>
    </row>
    <row r="20" spans="1:31" ht="17.25" thickBot="1" x14ac:dyDescent="0.35">
      <c r="A20" s="15">
        <f>SOCIOS!A19</f>
        <v>18</v>
      </c>
      <c r="B20" s="27">
        <f>SOCIOS!B19</f>
        <v>0</v>
      </c>
      <c r="C20" s="14">
        <f>'APORTES 2025'!O19</f>
        <v>0</v>
      </c>
      <c r="D20" s="39"/>
      <c r="E20" s="38"/>
      <c r="F20" s="43"/>
      <c r="G20" s="44"/>
      <c r="H20" s="46"/>
      <c r="I20" s="46"/>
      <c r="J20" s="52"/>
      <c r="K20" s="50"/>
      <c r="L20" s="86"/>
      <c r="M20" s="86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4">
        <f t="shared" si="1"/>
        <v>0</v>
      </c>
      <c r="AC20" s="34">
        <f t="shared" si="0"/>
        <v>0</v>
      </c>
      <c r="AE20" s="25"/>
    </row>
    <row r="21" spans="1:31" ht="17.25" thickBot="1" x14ac:dyDescent="0.35">
      <c r="A21" s="15">
        <f>SOCIOS!A20</f>
        <v>19</v>
      </c>
      <c r="B21" s="27">
        <f>SOCIOS!B20</f>
        <v>0</v>
      </c>
      <c r="C21" s="14">
        <f>'APORTES 2025'!O20</f>
        <v>0</v>
      </c>
      <c r="D21" s="39"/>
      <c r="E21" s="38"/>
      <c r="F21" s="43"/>
      <c r="G21" s="44"/>
      <c r="H21" s="46"/>
      <c r="I21" s="46"/>
      <c r="J21" s="52"/>
      <c r="K21" s="50"/>
      <c r="L21" s="86"/>
      <c r="M21" s="86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4">
        <f t="shared" si="1"/>
        <v>0</v>
      </c>
      <c r="AC21" s="34">
        <f t="shared" si="0"/>
        <v>0</v>
      </c>
    </row>
    <row r="22" spans="1:31" ht="17.25" thickBot="1" x14ac:dyDescent="0.35">
      <c r="A22" s="15">
        <f>SOCIOS!A21</f>
        <v>20</v>
      </c>
      <c r="B22" s="27">
        <f>SOCIOS!B21</f>
        <v>0</v>
      </c>
      <c r="C22" s="14">
        <f>'APORTES 2025'!O21</f>
        <v>0</v>
      </c>
      <c r="D22" s="39"/>
      <c r="E22" s="38"/>
      <c r="F22" s="43"/>
      <c r="G22" s="44"/>
      <c r="H22" s="46"/>
      <c r="I22" s="46"/>
      <c r="J22" s="52"/>
      <c r="K22" s="50"/>
      <c r="L22" s="86"/>
      <c r="M22" s="86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4">
        <f t="shared" si="1"/>
        <v>0</v>
      </c>
      <c r="AC22" s="34">
        <f t="shared" si="0"/>
        <v>0</v>
      </c>
    </row>
    <row r="23" spans="1:31" ht="17.25" thickBot="1" x14ac:dyDescent="0.35">
      <c r="A23" s="15">
        <f>SOCIOS!A22</f>
        <v>21</v>
      </c>
      <c r="B23" s="27">
        <f>SOCIOS!B22</f>
        <v>0</v>
      </c>
      <c r="C23" s="14">
        <f>'APORTES 2025'!O22</f>
        <v>0</v>
      </c>
      <c r="D23" s="39"/>
      <c r="E23" s="38"/>
      <c r="F23" s="43"/>
      <c r="G23" s="44"/>
      <c r="H23" s="46"/>
      <c r="I23" s="46"/>
      <c r="J23" s="52"/>
      <c r="K23" s="50"/>
      <c r="L23" s="86"/>
      <c r="M23" s="86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4">
        <f t="shared" si="1"/>
        <v>0</v>
      </c>
      <c r="AC23" s="34">
        <f t="shared" si="0"/>
        <v>0</v>
      </c>
    </row>
    <row r="24" spans="1:31" ht="17.25" thickBot="1" x14ac:dyDescent="0.35">
      <c r="A24" s="15">
        <f>SOCIOS!A23</f>
        <v>22</v>
      </c>
      <c r="B24" s="27">
        <f>SOCIOS!B23</f>
        <v>0</v>
      </c>
      <c r="C24" s="14">
        <f>'APORTES 2025'!O23</f>
        <v>0</v>
      </c>
      <c r="D24" s="39"/>
      <c r="E24" s="38"/>
      <c r="F24" s="43"/>
      <c r="G24" s="44"/>
      <c r="H24" s="46"/>
      <c r="I24" s="46"/>
      <c r="J24" s="52"/>
      <c r="K24" s="50"/>
      <c r="L24" s="86"/>
      <c r="M24" s="86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4">
        <f t="shared" si="1"/>
        <v>0</v>
      </c>
      <c r="AC24" s="34">
        <f t="shared" si="0"/>
        <v>0</v>
      </c>
    </row>
    <row r="25" spans="1:31" ht="17.25" thickBot="1" x14ac:dyDescent="0.35">
      <c r="A25" s="15">
        <f>SOCIOS!A24</f>
        <v>23</v>
      </c>
      <c r="B25" s="27">
        <f>SOCIOS!B24</f>
        <v>0</v>
      </c>
      <c r="C25" s="14">
        <f>'APORTES 2025'!O24</f>
        <v>0</v>
      </c>
      <c r="D25" s="39"/>
      <c r="E25" s="38"/>
      <c r="F25" s="43"/>
      <c r="G25" s="44"/>
      <c r="H25" s="46"/>
      <c r="I25" s="46"/>
      <c r="J25" s="52"/>
      <c r="K25" s="50"/>
      <c r="L25" s="86"/>
      <c r="M25" s="86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4">
        <f t="shared" si="1"/>
        <v>0</v>
      </c>
      <c r="AC25" s="34">
        <f t="shared" si="0"/>
        <v>0</v>
      </c>
    </row>
    <row r="26" spans="1:31" ht="17.25" thickBot="1" x14ac:dyDescent="0.35">
      <c r="A26" s="15">
        <f>SOCIOS!A25</f>
        <v>24</v>
      </c>
      <c r="B26" s="27">
        <f>SOCIOS!B25</f>
        <v>0</v>
      </c>
      <c r="C26" s="14">
        <f>'APORTES 2025'!O25</f>
        <v>0</v>
      </c>
      <c r="D26" s="39"/>
      <c r="E26" s="38"/>
      <c r="F26" s="43"/>
      <c r="G26" s="44"/>
      <c r="H26" s="46"/>
      <c r="I26" s="46"/>
      <c r="J26" s="52"/>
      <c r="K26" s="50"/>
      <c r="L26" s="86"/>
      <c r="M26" s="86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4">
        <f t="shared" si="1"/>
        <v>0</v>
      </c>
      <c r="AC26" s="34">
        <f t="shared" si="0"/>
        <v>0</v>
      </c>
    </row>
    <row r="27" spans="1:31" ht="17.25" thickBot="1" x14ac:dyDescent="0.35">
      <c r="A27" s="15">
        <f>SOCIOS!A26</f>
        <v>25</v>
      </c>
      <c r="B27" s="27">
        <f>SOCIOS!B26</f>
        <v>0</v>
      </c>
      <c r="C27" s="14">
        <f>'APORTES 2025'!O26</f>
        <v>0</v>
      </c>
      <c r="D27" s="39"/>
      <c r="E27" s="38"/>
      <c r="F27" s="43"/>
      <c r="G27" s="44"/>
      <c r="H27" s="46"/>
      <c r="I27" s="46"/>
      <c r="J27" s="52"/>
      <c r="K27" s="50"/>
      <c r="L27" s="86"/>
      <c r="M27" s="86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4">
        <f t="shared" si="1"/>
        <v>0</v>
      </c>
      <c r="AC27" s="34">
        <f t="shared" si="0"/>
        <v>0</v>
      </c>
    </row>
    <row r="28" spans="1:31" s="26" customFormat="1" ht="17.25" thickBot="1" x14ac:dyDescent="0.35">
      <c r="A28" s="30"/>
      <c r="B28" s="31" t="s">
        <v>62</v>
      </c>
      <c r="C28" s="32"/>
      <c r="D28" s="54">
        <f>SUM(D3:D27)</f>
        <v>1500</v>
      </c>
      <c r="E28" s="54">
        <f t="shared" ref="E28:AA28" si="2">SUM(E3:E27)</f>
        <v>55</v>
      </c>
      <c r="F28" s="54">
        <f>SUM(F3:F27)</f>
        <v>1500</v>
      </c>
      <c r="G28" s="54">
        <f t="shared" si="2"/>
        <v>15</v>
      </c>
      <c r="H28" s="54">
        <f t="shared" si="2"/>
        <v>1505</v>
      </c>
      <c r="I28" s="54">
        <f t="shared" si="2"/>
        <v>15</v>
      </c>
      <c r="J28" s="54">
        <f t="shared" si="2"/>
        <v>1500</v>
      </c>
      <c r="K28" s="54">
        <f t="shared" si="2"/>
        <v>5</v>
      </c>
      <c r="L28" s="54">
        <f t="shared" si="2"/>
        <v>1500</v>
      </c>
      <c r="M28" s="54">
        <f t="shared" si="2"/>
        <v>0</v>
      </c>
      <c r="N28" s="54">
        <f t="shared" si="2"/>
        <v>1500</v>
      </c>
      <c r="O28" s="54">
        <f t="shared" si="2"/>
        <v>20</v>
      </c>
      <c r="P28" s="54">
        <f t="shared" si="2"/>
        <v>1600</v>
      </c>
      <c r="Q28" s="54">
        <f t="shared" si="2"/>
        <v>5</v>
      </c>
      <c r="R28" s="54">
        <f t="shared" si="2"/>
        <v>0</v>
      </c>
      <c r="S28" s="54">
        <f t="shared" si="2"/>
        <v>0</v>
      </c>
      <c r="T28" s="54">
        <f t="shared" si="2"/>
        <v>0</v>
      </c>
      <c r="U28" s="54">
        <f t="shared" si="2"/>
        <v>0</v>
      </c>
      <c r="V28" s="54">
        <f t="shared" si="2"/>
        <v>0</v>
      </c>
      <c r="W28" s="54">
        <f t="shared" si="2"/>
        <v>0</v>
      </c>
      <c r="X28" s="54">
        <f t="shared" si="2"/>
        <v>0</v>
      </c>
      <c r="Y28" s="54">
        <f t="shared" si="2"/>
        <v>0</v>
      </c>
      <c r="Z28" s="54">
        <f t="shared" si="2"/>
        <v>0</v>
      </c>
      <c r="AA28" s="54">
        <f t="shared" si="2"/>
        <v>0</v>
      </c>
      <c r="AB28" s="54">
        <f>SUM(AB3:AB27)</f>
        <v>10605</v>
      </c>
      <c r="AC28" s="54" t="e">
        <f>SUM(AC3:AC27)+#REF!</f>
        <v>#REF!</v>
      </c>
    </row>
    <row r="29" spans="1:31" ht="17.25" thickBot="1" x14ac:dyDescent="0.35">
      <c r="D29" s="114">
        <f>D28+E28</f>
        <v>1555</v>
      </c>
      <c r="E29" s="114"/>
      <c r="F29" s="123">
        <f>F28+G28</f>
        <v>1515</v>
      </c>
      <c r="G29" s="123"/>
      <c r="H29" s="124">
        <f>H28+I28</f>
        <v>1520</v>
      </c>
      <c r="I29" s="125"/>
      <c r="J29" s="126">
        <f>J28+K28</f>
        <v>1505</v>
      </c>
      <c r="K29" s="127"/>
      <c r="L29" s="17">
        <f>L28+M28</f>
        <v>1500</v>
      </c>
      <c r="M29" s="17"/>
      <c r="N29" s="17">
        <f>N28+O28</f>
        <v>1520</v>
      </c>
      <c r="O29" s="17"/>
      <c r="P29" s="17">
        <f>P28+Q28</f>
        <v>1605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4"/>
      <c r="AC29" s="56"/>
    </row>
  </sheetData>
  <mergeCells count="19">
    <mergeCell ref="D29:E29"/>
    <mergeCell ref="X1:Y1"/>
    <mergeCell ref="Z1:AA1"/>
    <mergeCell ref="AB1:AB2"/>
    <mergeCell ref="L1:M1"/>
    <mergeCell ref="N1:O1"/>
    <mergeCell ref="P1:Q1"/>
    <mergeCell ref="R1:S1"/>
    <mergeCell ref="T1:U1"/>
    <mergeCell ref="V1:W1"/>
    <mergeCell ref="J1:K1"/>
    <mergeCell ref="F29:G29"/>
    <mergeCell ref="H29:I29"/>
    <mergeCell ref="J29:K29"/>
    <mergeCell ref="B1:B2"/>
    <mergeCell ref="C1:C2"/>
    <mergeCell ref="D1:E1"/>
    <mergeCell ref="F1:G1"/>
    <mergeCell ref="H1:I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F3568-176C-4BB0-81DE-097E344258A6}">
  <dimension ref="A1:O27"/>
  <sheetViews>
    <sheetView zoomScaleNormal="100" workbookViewId="0">
      <selection activeCell="N6" sqref="N6"/>
    </sheetView>
  </sheetViews>
  <sheetFormatPr baseColWidth="10" defaultRowHeight="16.5" x14ac:dyDescent="0.3"/>
  <cols>
    <col min="1" max="1" width="5.140625" style="10" bestFit="1" customWidth="1"/>
    <col min="2" max="2" width="36" style="1" bestFit="1" customWidth="1"/>
    <col min="3" max="3" width="12.28515625" style="12" bestFit="1" customWidth="1"/>
    <col min="4" max="9" width="14.140625" style="12" bestFit="1" customWidth="1"/>
    <col min="10" max="10" width="15.42578125" style="12" bestFit="1" customWidth="1"/>
    <col min="11" max="14" width="14.140625" style="12" bestFit="1" customWidth="1"/>
    <col min="15" max="15" width="15.42578125" style="11" bestFit="1" customWidth="1"/>
    <col min="16" max="16384" width="11.42578125" style="1"/>
  </cols>
  <sheetData>
    <row r="1" spans="1:15" s="20" customFormat="1" ht="17.25" thickBot="1" x14ac:dyDescent="0.35">
      <c r="A1" s="18" t="s">
        <v>13</v>
      </c>
      <c r="B1" s="13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32</v>
      </c>
    </row>
    <row r="2" spans="1:15" ht="17.25" thickBot="1" x14ac:dyDescent="0.35">
      <c r="A2" s="15">
        <f>SOCIOS!A2</f>
        <v>1</v>
      </c>
      <c r="B2" s="16" t="str">
        <f>SOCIOS!B2</f>
        <v>Filomena Valdez Curi</v>
      </c>
      <c r="C2" s="17">
        <v>0</v>
      </c>
      <c r="D2" s="17">
        <v>100</v>
      </c>
      <c r="E2" s="17">
        <v>100</v>
      </c>
      <c r="F2" s="17">
        <v>100</v>
      </c>
      <c r="G2" s="17">
        <v>100</v>
      </c>
      <c r="H2" s="17">
        <v>100</v>
      </c>
      <c r="I2" s="17">
        <v>100</v>
      </c>
      <c r="J2" s="17">
        <v>100</v>
      </c>
      <c r="K2" s="17">
        <v>100</v>
      </c>
      <c r="L2" s="17">
        <v>100</v>
      </c>
      <c r="M2" s="24">
        <v>100</v>
      </c>
      <c r="N2" s="24">
        <v>100</v>
      </c>
      <c r="O2" s="14">
        <f>SUM(C2:N2)</f>
        <v>1100</v>
      </c>
    </row>
    <row r="3" spans="1:15" ht="17.25" thickBot="1" x14ac:dyDescent="0.35">
      <c r="A3" s="15">
        <f>SOCIOS!A3</f>
        <v>2</v>
      </c>
      <c r="B3" s="16" t="str">
        <f>SOCIOS!B3</f>
        <v>Efrain Infante Mejia</v>
      </c>
      <c r="C3" s="17">
        <v>0</v>
      </c>
      <c r="D3" s="17">
        <v>100</v>
      </c>
      <c r="E3" s="17">
        <v>100</v>
      </c>
      <c r="F3" s="17">
        <v>100</v>
      </c>
      <c r="G3" s="17">
        <v>100</v>
      </c>
      <c r="H3" s="17">
        <v>100</v>
      </c>
      <c r="I3" s="17">
        <v>100</v>
      </c>
      <c r="J3" s="17">
        <v>100</v>
      </c>
      <c r="K3" s="17">
        <v>100</v>
      </c>
      <c r="L3" s="17">
        <v>100</v>
      </c>
      <c r="M3" s="17">
        <v>100</v>
      </c>
      <c r="N3" s="17">
        <v>100</v>
      </c>
      <c r="O3" s="14">
        <f t="shared" ref="O3:O26" si="0">SUM(C3:N3)</f>
        <v>1100</v>
      </c>
    </row>
    <row r="4" spans="1:15" ht="17.25" thickBot="1" x14ac:dyDescent="0.35">
      <c r="A4" s="15">
        <f>SOCIOS!A4</f>
        <v>3</v>
      </c>
      <c r="B4" s="16" t="str">
        <f>SOCIOS!B4</f>
        <v>Estefani Corali Infante Fernández</v>
      </c>
      <c r="C4" s="17">
        <v>0</v>
      </c>
      <c r="D4" s="17">
        <v>100</v>
      </c>
      <c r="E4" s="17">
        <v>100</v>
      </c>
      <c r="F4" s="17">
        <v>100</v>
      </c>
      <c r="G4" s="17">
        <v>100</v>
      </c>
      <c r="H4" s="17">
        <v>100</v>
      </c>
      <c r="I4" s="17">
        <v>100</v>
      </c>
      <c r="J4" s="17">
        <v>100</v>
      </c>
      <c r="K4" s="17">
        <v>100</v>
      </c>
      <c r="L4" s="17">
        <v>100</v>
      </c>
      <c r="M4" s="17">
        <v>100</v>
      </c>
      <c r="N4" s="17">
        <v>100</v>
      </c>
      <c r="O4" s="14">
        <f t="shared" si="0"/>
        <v>1100</v>
      </c>
    </row>
    <row r="5" spans="1:15" ht="17.25" thickBot="1" x14ac:dyDescent="0.35">
      <c r="A5" s="15">
        <f>SOCIOS!A5</f>
        <v>4</v>
      </c>
      <c r="B5" s="16" t="str">
        <f>SOCIOS!B5</f>
        <v>Juan Carlos Cuba Sulca</v>
      </c>
      <c r="C5" s="17">
        <v>0</v>
      </c>
      <c r="D5" s="17">
        <v>100</v>
      </c>
      <c r="E5" s="17">
        <v>100</v>
      </c>
      <c r="F5" s="17">
        <v>100</v>
      </c>
      <c r="G5" s="17">
        <v>100</v>
      </c>
      <c r="H5" s="17">
        <v>100</v>
      </c>
      <c r="I5" s="17">
        <v>100</v>
      </c>
      <c r="J5" s="17">
        <v>100</v>
      </c>
      <c r="K5" s="17">
        <v>100</v>
      </c>
      <c r="L5" s="17">
        <v>100</v>
      </c>
      <c r="M5" s="17">
        <v>100</v>
      </c>
      <c r="N5" s="17">
        <v>100</v>
      </c>
      <c r="O5" s="14">
        <f t="shared" si="0"/>
        <v>1100</v>
      </c>
    </row>
    <row r="6" spans="1:15" ht="17.25" thickBot="1" x14ac:dyDescent="0.35">
      <c r="A6" s="15">
        <f>SOCIOS!A6</f>
        <v>5</v>
      </c>
      <c r="B6" s="16" t="str">
        <f>SOCIOS!B6</f>
        <v>Julio Cesar Fernandez Valdez</v>
      </c>
      <c r="C6" s="17">
        <v>0</v>
      </c>
      <c r="D6" s="17">
        <v>100</v>
      </c>
      <c r="E6" s="17">
        <v>100</v>
      </c>
      <c r="F6" s="17">
        <v>100</v>
      </c>
      <c r="G6" s="17">
        <v>100</v>
      </c>
      <c r="H6" s="17">
        <v>100</v>
      </c>
      <c r="I6" s="17">
        <v>100</v>
      </c>
      <c r="J6" s="17">
        <v>100</v>
      </c>
      <c r="K6" s="17">
        <v>100</v>
      </c>
      <c r="L6" s="17">
        <v>100</v>
      </c>
      <c r="M6" s="17">
        <v>100</v>
      </c>
      <c r="N6" s="17">
        <v>100</v>
      </c>
      <c r="O6" s="14">
        <f t="shared" si="0"/>
        <v>1100</v>
      </c>
    </row>
    <row r="7" spans="1:15" ht="17.25" thickBot="1" x14ac:dyDescent="0.35">
      <c r="A7" s="15">
        <f>SOCIOS!A7</f>
        <v>6</v>
      </c>
      <c r="B7" s="16" t="str">
        <f>SOCIOS!B7</f>
        <v>Mariela Fernández Valdez</v>
      </c>
      <c r="C7" s="17">
        <v>0</v>
      </c>
      <c r="D7" s="17">
        <v>100</v>
      </c>
      <c r="E7" s="17">
        <v>100</v>
      </c>
      <c r="F7" s="17">
        <v>100</v>
      </c>
      <c r="G7" s="17">
        <v>100</v>
      </c>
      <c r="H7" s="17">
        <v>100</v>
      </c>
      <c r="I7" s="17">
        <v>100</v>
      </c>
      <c r="J7" s="17">
        <v>100</v>
      </c>
      <c r="K7" s="17">
        <v>100</v>
      </c>
      <c r="L7" s="17">
        <v>100</v>
      </c>
      <c r="M7" s="17">
        <v>100</v>
      </c>
      <c r="N7" s="17">
        <v>100</v>
      </c>
      <c r="O7" s="14">
        <f t="shared" si="0"/>
        <v>1100</v>
      </c>
    </row>
    <row r="8" spans="1:15" ht="17.25" thickBot="1" x14ac:dyDescent="0.35">
      <c r="A8" s="15">
        <f>SOCIOS!A8</f>
        <v>7</v>
      </c>
      <c r="B8" s="16" t="str">
        <f>SOCIOS!B8</f>
        <v>Michael Fernández Valdez</v>
      </c>
      <c r="C8" s="17">
        <v>0</v>
      </c>
      <c r="D8" s="17">
        <v>100</v>
      </c>
      <c r="E8" s="17">
        <v>100</v>
      </c>
      <c r="F8" s="17">
        <v>100</v>
      </c>
      <c r="G8" s="17">
        <v>100</v>
      </c>
      <c r="H8" s="17">
        <v>100</v>
      </c>
      <c r="I8" s="17">
        <v>100</v>
      </c>
      <c r="J8" s="17">
        <v>100</v>
      </c>
      <c r="K8" s="17">
        <v>100</v>
      </c>
      <c r="L8" s="17">
        <v>100</v>
      </c>
      <c r="M8" s="17">
        <v>100</v>
      </c>
      <c r="N8" s="17">
        <v>100</v>
      </c>
      <c r="O8" s="14">
        <f t="shared" si="0"/>
        <v>1100</v>
      </c>
    </row>
    <row r="9" spans="1:15" ht="17.25" thickBot="1" x14ac:dyDescent="0.35">
      <c r="A9" s="15">
        <f>SOCIOS!A9</f>
        <v>8</v>
      </c>
      <c r="B9" s="16" t="str">
        <f>SOCIOS!B9</f>
        <v>Paul Jimmy Auccapuclla Barrientos</v>
      </c>
      <c r="C9" s="17">
        <v>0</v>
      </c>
      <c r="D9" s="17">
        <v>100</v>
      </c>
      <c r="E9" s="17">
        <v>100</v>
      </c>
      <c r="F9" s="17">
        <v>100</v>
      </c>
      <c r="G9" s="17">
        <v>100</v>
      </c>
      <c r="H9" s="17">
        <v>100</v>
      </c>
      <c r="I9" s="17">
        <v>100</v>
      </c>
      <c r="J9" s="17">
        <v>100</v>
      </c>
      <c r="K9" s="17">
        <v>100</v>
      </c>
      <c r="L9" s="17">
        <v>100</v>
      </c>
      <c r="M9" s="17">
        <v>100</v>
      </c>
      <c r="N9" s="17">
        <v>100</v>
      </c>
      <c r="O9" s="14">
        <f t="shared" si="0"/>
        <v>1100</v>
      </c>
    </row>
    <row r="10" spans="1:15" ht="17.25" thickBot="1" x14ac:dyDescent="0.35">
      <c r="A10" s="15">
        <f>SOCIOS!A10</f>
        <v>9</v>
      </c>
      <c r="B10" s="16" t="str">
        <f>SOCIOS!B10</f>
        <v>Saul Godoy Mallqui</v>
      </c>
      <c r="C10" s="17">
        <v>0</v>
      </c>
      <c r="D10" s="17">
        <v>100</v>
      </c>
      <c r="E10" s="17">
        <v>100</v>
      </c>
      <c r="F10" s="17">
        <v>100</v>
      </c>
      <c r="G10" s="17">
        <v>100</v>
      </c>
      <c r="H10" s="17">
        <v>100</v>
      </c>
      <c r="I10" s="17">
        <v>100</v>
      </c>
      <c r="J10" s="17">
        <v>100</v>
      </c>
      <c r="K10" s="17">
        <v>100</v>
      </c>
      <c r="L10" s="17">
        <v>100</v>
      </c>
      <c r="M10" s="17">
        <v>100</v>
      </c>
      <c r="N10" s="17">
        <v>100</v>
      </c>
      <c r="O10" s="14">
        <f t="shared" si="0"/>
        <v>1100</v>
      </c>
    </row>
    <row r="11" spans="1:15" ht="17.25" thickBot="1" x14ac:dyDescent="0.35">
      <c r="A11" s="15">
        <f>SOCIOS!A11</f>
        <v>10</v>
      </c>
      <c r="B11" s="16" t="str">
        <f>SOCIOS!B11</f>
        <v>Sayda Quispe Curi</v>
      </c>
      <c r="C11" s="17">
        <v>0</v>
      </c>
      <c r="D11" s="17">
        <v>100</v>
      </c>
      <c r="E11" s="17">
        <v>100</v>
      </c>
      <c r="F11" s="17">
        <v>100</v>
      </c>
      <c r="G11" s="17">
        <v>100</v>
      </c>
      <c r="H11" s="17">
        <v>100</v>
      </c>
      <c r="I11" s="17">
        <v>100</v>
      </c>
      <c r="J11" s="17">
        <v>100</v>
      </c>
      <c r="K11" s="17">
        <v>100</v>
      </c>
      <c r="L11" s="17">
        <v>100</v>
      </c>
      <c r="M11" s="17">
        <v>100</v>
      </c>
      <c r="N11" s="17">
        <v>100</v>
      </c>
      <c r="O11" s="14">
        <f t="shared" si="0"/>
        <v>1100</v>
      </c>
    </row>
    <row r="12" spans="1:15" ht="17.25" thickBot="1" x14ac:dyDescent="0.35">
      <c r="A12" s="15">
        <f>SOCIOS!A12</f>
        <v>11</v>
      </c>
      <c r="B12" s="16" t="str">
        <f>SOCIOS!B12</f>
        <v>Yeli Melusca Algoner Mejia</v>
      </c>
      <c r="C12" s="17">
        <v>0</v>
      </c>
      <c r="D12" s="17">
        <v>100</v>
      </c>
      <c r="E12" s="17">
        <v>100</v>
      </c>
      <c r="F12" s="17">
        <v>100</v>
      </c>
      <c r="G12" s="17">
        <v>100</v>
      </c>
      <c r="H12" s="17">
        <v>100</v>
      </c>
      <c r="I12" s="17">
        <v>100</v>
      </c>
      <c r="J12" s="17">
        <v>100</v>
      </c>
      <c r="K12" s="17">
        <v>100</v>
      </c>
      <c r="L12" s="17">
        <v>100</v>
      </c>
      <c r="M12" s="17">
        <v>100</v>
      </c>
      <c r="N12" s="17">
        <v>100</v>
      </c>
      <c r="O12" s="14">
        <f t="shared" si="0"/>
        <v>1100</v>
      </c>
    </row>
    <row r="13" spans="1:15" ht="17.25" thickBot="1" x14ac:dyDescent="0.35">
      <c r="A13" s="15">
        <f>SOCIOS!A13</f>
        <v>12</v>
      </c>
      <c r="B13" s="16" t="str">
        <f>SOCIOS!B13</f>
        <v>Yésica Godoy Mallqui</v>
      </c>
      <c r="C13" s="17">
        <v>0</v>
      </c>
      <c r="D13" s="17">
        <v>100</v>
      </c>
      <c r="E13" s="17">
        <v>100</v>
      </c>
      <c r="F13" s="17">
        <v>100</v>
      </c>
      <c r="G13" s="17">
        <v>100</v>
      </c>
      <c r="H13" s="17">
        <v>100</v>
      </c>
      <c r="I13" s="17">
        <v>100</v>
      </c>
      <c r="J13" s="17">
        <v>100</v>
      </c>
      <c r="K13" s="17">
        <v>100</v>
      </c>
      <c r="L13" s="17">
        <v>100</v>
      </c>
      <c r="M13" s="17">
        <v>100</v>
      </c>
      <c r="N13" s="17">
        <v>100</v>
      </c>
      <c r="O13" s="14">
        <f t="shared" si="0"/>
        <v>1100</v>
      </c>
    </row>
    <row r="14" spans="1:15" ht="17.25" thickBot="1" x14ac:dyDescent="0.35">
      <c r="A14" s="15">
        <f>SOCIOS!A14</f>
        <v>13</v>
      </c>
      <c r="B14" s="16" t="str">
        <f>SOCIOS!B14</f>
        <v>Maribel Cayllahua Sulcacondor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4">
        <f t="shared" si="0"/>
        <v>0</v>
      </c>
    </row>
    <row r="15" spans="1:15" ht="17.25" thickBot="1" x14ac:dyDescent="0.35">
      <c r="A15" s="15">
        <f>SOCIOS!A15</f>
        <v>14</v>
      </c>
      <c r="B15" s="16" t="str">
        <f>SOCIOS!B15</f>
        <v>Jose Luis Fernandez Pariona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4">
        <f t="shared" si="0"/>
        <v>0</v>
      </c>
    </row>
    <row r="16" spans="1:15" ht="17.25" thickBot="1" x14ac:dyDescent="0.35">
      <c r="A16" s="15">
        <f>SOCIOS!A16</f>
        <v>15</v>
      </c>
      <c r="B16" s="16" t="str">
        <f>SOCIOS!B16</f>
        <v>Brith Zarella Roca Godoy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4">
        <f t="shared" si="0"/>
        <v>0</v>
      </c>
    </row>
    <row r="17" spans="1:15" ht="17.25" thickBot="1" x14ac:dyDescent="0.35">
      <c r="A17" s="15">
        <f>SOCIOS!A17</f>
        <v>16</v>
      </c>
      <c r="B17" s="16" t="str">
        <f>SOCIOS!B17</f>
        <v>Jeferson Mendoza Quispe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4">
        <f t="shared" si="0"/>
        <v>0</v>
      </c>
    </row>
    <row r="18" spans="1:15" ht="17.25" thickBot="1" x14ac:dyDescent="0.35">
      <c r="A18" s="15">
        <f>SOCIOS!A18</f>
        <v>17</v>
      </c>
      <c r="B18" s="16">
        <f>SOCIOS!B18</f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4">
        <f t="shared" si="0"/>
        <v>0</v>
      </c>
    </row>
    <row r="19" spans="1:15" ht="17.25" thickBot="1" x14ac:dyDescent="0.35">
      <c r="A19" s="15">
        <f>SOCIOS!A19</f>
        <v>18</v>
      </c>
      <c r="B19" s="16">
        <f>SOCIOS!B19</f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4">
        <f t="shared" si="0"/>
        <v>0</v>
      </c>
    </row>
    <row r="20" spans="1:15" ht="17.25" thickBot="1" x14ac:dyDescent="0.35">
      <c r="A20" s="15">
        <f>SOCIOS!A20</f>
        <v>19</v>
      </c>
      <c r="B20" s="16">
        <f>SOCIOS!B20</f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4">
        <f t="shared" si="0"/>
        <v>0</v>
      </c>
    </row>
    <row r="21" spans="1:15" ht="17.25" thickBot="1" x14ac:dyDescent="0.35">
      <c r="A21" s="15">
        <f>SOCIOS!A21</f>
        <v>20</v>
      </c>
      <c r="B21" s="16">
        <f>SOCIOS!B21</f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4">
        <f t="shared" si="0"/>
        <v>0</v>
      </c>
    </row>
    <row r="22" spans="1:15" ht="17.25" thickBot="1" x14ac:dyDescent="0.35">
      <c r="A22" s="15">
        <f>SOCIOS!A22</f>
        <v>21</v>
      </c>
      <c r="B22" s="16">
        <f>SOCIOS!B22</f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4">
        <f t="shared" si="0"/>
        <v>0</v>
      </c>
    </row>
    <row r="23" spans="1:15" ht="17.25" thickBot="1" x14ac:dyDescent="0.35">
      <c r="A23" s="15">
        <f>SOCIOS!A23</f>
        <v>22</v>
      </c>
      <c r="B23" s="16">
        <f>SOCIOS!B23</f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4">
        <f t="shared" si="0"/>
        <v>0</v>
      </c>
    </row>
    <row r="24" spans="1:15" ht="17.25" thickBot="1" x14ac:dyDescent="0.35">
      <c r="A24" s="15">
        <f>SOCIOS!A24</f>
        <v>23</v>
      </c>
      <c r="B24" s="16">
        <f>SOCIOS!B24</f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4">
        <f t="shared" si="0"/>
        <v>0</v>
      </c>
    </row>
    <row r="25" spans="1:15" ht="17.25" thickBot="1" x14ac:dyDescent="0.35">
      <c r="A25" s="15">
        <f>SOCIOS!A25</f>
        <v>24</v>
      </c>
      <c r="B25" s="16">
        <f>SOCIOS!B25</f>
        <v>0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4">
        <f t="shared" si="0"/>
        <v>0</v>
      </c>
    </row>
    <row r="26" spans="1:15" ht="17.25" thickBot="1" x14ac:dyDescent="0.35">
      <c r="A26" s="15">
        <f>SOCIOS!A26</f>
        <v>25</v>
      </c>
      <c r="B26" s="16">
        <f>SOCIOS!B26</f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4">
        <f t="shared" si="0"/>
        <v>0</v>
      </c>
    </row>
    <row r="27" spans="1:15" x14ac:dyDescent="0.3">
      <c r="C27" s="12">
        <f t="shared" ref="C27:N27" si="1">SUM(C2:C26)</f>
        <v>0</v>
      </c>
      <c r="D27" s="12">
        <f t="shared" si="1"/>
        <v>1200</v>
      </c>
      <c r="E27" s="12">
        <f t="shared" si="1"/>
        <v>1200</v>
      </c>
      <c r="F27" s="12">
        <f t="shared" si="1"/>
        <v>1200</v>
      </c>
      <c r="G27" s="12">
        <f t="shared" si="1"/>
        <v>1200</v>
      </c>
      <c r="H27" s="12">
        <f t="shared" si="1"/>
        <v>1200</v>
      </c>
      <c r="I27" s="12">
        <f t="shared" si="1"/>
        <v>1200</v>
      </c>
      <c r="J27" s="12">
        <f t="shared" si="1"/>
        <v>1200</v>
      </c>
      <c r="K27" s="12">
        <f t="shared" si="1"/>
        <v>1200</v>
      </c>
      <c r="L27" s="12">
        <f t="shared" si="1"/>
        <v>1200</v>
      </c>
      <c r="M27" s="12">
        <f t="shared" si="1"/>
        <v>1200</v>
      </c>
      <c r="N27" s="12">
        <f t="shared" si="1"/>
        <v>1200</v>
      </c>
    </row>
  </sheetData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F893C-EC85-4C70-8F68-17EBE8924648}">
  <dimension ref="A1:J26"/>
  <sheetViews>
    <sheetView zoomScaleNormal="100" workbookViewId="0">
      <selection activeCell="D11" sqref="D11"/>
    </sheetView>
  </sheetViews>
  <sheetFormatPr baseColWidth="10" defaultRowHeight="15" x14ac:dyDescent="0.3"/>
  <cols>
    <col min="1" max="1" width="11.42578125" style="2"/>
    <col min="2" max="2" width="32" style="2" bestFit="1" customWidth="1"/>
    <col min="3" max="3" width="5" style="2" bestFit="1" customWidth="1"/>
    <col min="4" max="4" width="5.140625" style="2" bestFit="1" customWidth="1"/>
    <col min="5" max="16384" width="11.42578125" style="2"/>
  </cols>
  <sheetData>
    <row r="1" spans="1:10" ht="15.75" thickBot="1" x14ac:dyDescent="0.35"/>
    <row r="2" spans="1:10" s="80" customFormat="1" ht="48" thickBot="1" x14ac:dyDescent="0.3">
      <c r="A2" s="81" t="s">
        <v>13</v>
      </c>
      <c r="B2" s="81" t="s">
        <v>69</v>
      </c>
      <c r="C2" s="81" t="s">
        <v>70</v>
      </c>
      <c r="D2" s="82">
        <v>46167</v>
      </c>
      <c r="E2" s="81"/>
      <c r="F2" s="81"/>
      <c r="G2" s="81"/>
      <c r="H2" s="81"/>
      <c r="I2" s="81"/>
      <c r="J2" s="81"/>
    </row>
    <row r="3" spans="1:10" ht="15.75" thickBot="1" x14ac:dyDescent="0.35">
      <c r="A3" s="6">
        <f>SOCIOS!A2</f>
        <v>1</v>
      </c>
      <c r="B3" s="6" t="str">
        <f>SOCIOS!B2</f>
        <v>Filomena Valdez Curi</v>
      </c>
      <c r="C3" s="6">
        <v>1</v>
      </c>
      <c r="D3" s="6">
        <v>0</v>
      </c>
      <c r="E3" s="6"/>
      <c r="F3" s="6"/>
      <c r="G3" s="6"/>
      <c r="H3" s="6"/>
      <c r="I3" s="6"/>
      <c r="J3" s="6"/>
    </row>
    <row r="4" spans="1:10" ht="15.75" thickBot="1" x14ac:dyDescent="0.35">
      <c r="A4" s="6">
        <f>SOCIOS!A3</f>
        <v>2</v>
      </c>
      <c r="B4" s="6" t="str">
        <f>SOCIOS!B3</f>
        <v>Efrain Infante Mejia</v>
      </c>
      <c r="C4" s="6"/>
      <c r="D4" s="6">
        <v>1</v>
      </c>
      <c r="E4" s="6"/>
      <c r="F4" s="6"/>
      <c r="G4" s="6"/>
      <c r="H4" s="6"/>
      <c r="I4" s="6"/>
      <c r="J4" s="6"/>
    </row>
    <row r="5" spans="1:10" ht="15.75" thickBot="1" x14ac:dyDescent="0.35">
      <c r="A5" s="6">
        <f>SOCIOS!A4</f>
        <v>3</v>
      </c>
      <c r="B5" s="6" t="str">
        <f>SOCIOS!B4</f>
        <v>Estefani Corali Infante Fernández</v>
      </c>
      <c r="C5" s="6"/>
      <c r="D5" s="6">
        <v>0</v>
      </c>
      <c r="E5" s="6"/>
      <c r="F5" s="6"/>
      <c r="G5" s="6"/>
      <c r="H5" s="6"/>
      <c r="I5" s="6"/>
      <c r="J5" s="6"/>
    </row>
    <row r="6" spans="1:10" ht="15.75" thickBot="1" x14ac:dyDescent="0.35">
      <c r="A6" s="6">
        <f>SOCIOS!A5</f>
        <v>4</v>
      </c>
      <c r="B6" s="6" t="str">
        <f>SOCIOS!B5</f>
        <v>Juan Carlos Cuba Sulca</v>
      </c>
      <c r="C6" s="6"/>
      <c r="D6" s="6">
        <v>1</v>
      </c>
      <c r="E6" s="6"/>
      <c r="F6" s="6"/>
      <c r="G6" s="6"/>
      <c r="H6" s="6"/>
      <c r="I6" s="6"/>
      <c r="J6" s="6"/>
    </row>
    <row r="7" spans="1:10" ht="15.75" thickBot="1" x14ac:dyDescent="0.35">
      <c r="A7" s="6">
        <f>SOCIOS!A6</f>
        <v>5</v>
      </c>
      <c r="B7" s="6" t="str">
        <f>SOCIOS!B6</f>
        <v>Julio Cesar Fernandez Valdez</v>
      </c>
      <c r="C7" s="6"/>
      <c r="D7" s="6">
        <v>1</v>
      </c>
      <c r="E7" s="6"/>
      <c r="F7" s="6"/>
      <c r="G7" s="6"/>
      <c r="H7" s="6"/>
      <c r="I7" s="6"/>
      <c r="J7" s="6"/>
    </row>
    <row r="8" spans="1:10" ht="15.75" thickBot="1" x14ac:dyDescent="0.35">
      <c r="A8" s="6">
        <f>SOCIOS!A7</f>
        <v>6</v>
      </c>
      <c r="B8" s="6" t="str">
        <f>SOCIOS!B7</f>
        <v>Mariela Fernández Valdez</v>
      </c>
      <c r="C8" s="6"/>
      <c r="D8" s="6">
        <v>1</v>
      </c>
      <c r="E8" s="6"/>
      <c r="F8" s="6"/>
      <c r="G8" s="6"/>
      <c r="H8" s="6"/>
      <c r="I8" s="6"/>
      <c r="J8" s="6"/>
    </row>
    <row r="9" spans="1:10" ht="15.75" thickBot="1" x14ac:dyDescent="0.35">
      <c r="A9" s="6">
        <f>SOCIOS!A8</f>
        <v>7</v>
      </c>
      <c r="B9" s="6" t="str">
        <f>SOCIOS!B8</f>
        <v>Michael Fernández Valdez</v>
      </c>
      <c r="C9" s="6"/>
      <c r="D9" s="6">
        <v>0</v>
      </c>
      <c r="E9" s="6"/>
      <c r="F9" s="6"/>
      <c r="G9" s="6"/>
      <c r="H9" s="6"/>
      <c r="I9" s="6"/>
      <c r="J9" s="6"/>
    </row>
    <row r="10" spans="1:10" ht="15.75" thickBot="1" x14ac:dyDescent="0.35">
      <c r="A10" s="6">
        <f>SOCIOS!A9</f>
        <v>8</v>
      </c>
      <c r="B10" s="6" t="str">
        <f>SOCIOS!B9</f>
        <v>Paul Jimmy Auccapuclla Barrientos</v>
      </c>
      <c r="C10" s="6"/>
      <c r="D10" s="6">
        <v>1</v>
      </c>
      <c r="E10" s="6"/>
      <c r="F10" s="6"/>
      <c r="G10" s="6"/>
      <c r="H10" s="6"/>
      <c r="I10" s="6"/>
      <c r="J10" s="6"/>
    </row>
    <row r="11" spans="1:10" ht="15.75" thickBot="1" x14ac:dyDescent="0.35">
      <c r="A11" s="6">
        <f>SOCIOS!A10</f>
        <v>9</v>
      </c>
      <c r="B11" s="6" t="str">
        <f>SOCIOS!B10</f>
        <v>Saul Godoy Mallqui</v>
      </c>
      <c r="C11" s="6"/>
      <c r="D11" s="6">
        <v>1</v>
      </c>
      <c r="E11" s="6"/>
      <c r="F11" s="6"/>
      <c r="G11" s="6"/>
      <c r="H11" s="6"/>
      <c r="I11" s="6"/>
      <c r="J11" s="6"/>
    </row>
    <row r="12" spans="1:10" ht="15.75" thickBot="1" x14ac:dyDescent="0.35">
      <c r="A12" s="6">
        <f>SOCIOS!A11</f>
        <v>10</v>
      </c>
      <c r="B12" s="6" t="str">
        <f>SOCIOS!B11</f>
        <v>Sayda Quispe Curi</v>
      </c>
      <c r="C12" s="6"/>
      <c r="D12" s="6">
        <v>1</v>
      </c>
      <c r="E12" s="6"/>
      <c r="F12" s="6"/>
      <c r="G12" s="6"/>
      <c r="H12" s="6"/>
      <c r="I12" s="6"/>
      <c r="J12" s="6"/>
    </row>
    <row r="13" spans="1:10" ht="15.75" thickBot="1" x14ac:dyDescent="0.35">
      <c r="A13" s="6">
        <f>SOCIOS!A12</f>
        <v>11</v>
      </c>
      <c r="B13" s="6" t="str">
        <f>SOCIOS!B12</f>
        <v>Yeli Melusca Algoner Mejia</v>
      </c>
      <c r="C13" s="6"/>
      <c r="D13" s="6">
        <v>1</v>
      </c>
      <c r="E13" s="6"/>
      <c r="F13" s="6"/>
      <c r="G13" s="6"/>
      <c r="H13" s="6"/>
      <c r="I13" s="6"/>
      <c r="J13" s="6"/>
    </row>
    <row r="14" spans="1:10" ht="15.75" thickBot="1" x14ac:dyDescent="0.35">
      <c r="A14" s="6">
        <f>SOCIOS!A13</f>
        <v>12</v>
      </c>
      <c r="B14" s="6" t="str">
        <f>SOCIOS!B13</f>
        <v>Yésica Godoy Mallqui</v>
      </c>
      <c r="C14" s="6"/>
      <c r="D14" s="6">
        <v>1</v>
      </c>
      <c r="E14" s="6"/>
      <c r="F14" s="6"/>
      <c r="G14" s="6"/>
      <c r="H14" s="6"/>
      <c r="I14" s="6"/>
      <c r="J14" s="6"/>
    </row>
    <row r="15" spans="1:10" ht="15.75" thickBot="1" x14ac:dyDescent="0.35">
      <c r="A15" s="6">
        <f>SOCIOS!A14</f>
        <v>13</v>
      </c>
      <c r="B15" s="6" t="str">
        <f>SOCIOS!B14</f>
        <v>Maribel Cayllahua Sulcacondor</v>
      </c>
      <c r="C15" s="6"/>
      <c r="D15" s="6">
        <v>0</v>
      </c>
      <c r="E15" s="6"/>
      <c r="F15" s="6"/>
      <c r="G15" s="6"/>
      <c r="H15" s="6"/>
      <c r="I15" s="6"/>
      <c r="J15" s="6"/>
    </row>
    <row r="16" spans="1:10" ht="15.75" thickBot="1" x14ac:dyDescent="0.35">
      <c r="A16" s="6">
        <f>SOCIOS!A15</f>
        <v>14</v>
      </c>
      <c r="B16" s="6" t="str">
        <f>SOCIOS!B15</f>
        <v>Jose Luis Fernandez Pariona</v>
      </c>
      <c r="C16" s="6"/>
      <c r="D16" s="6">
        <v>1</v>
      </c>
      <c r="E16" s="6"/>
      <c r="F16" s="6"/>
      <c r="G16" s="6"/>
      <c r="H16" s="6"/>
      <c r="I16" s="6"/>
      <c r="J16" s="6"/>
    </row>
    <row r="17" spans="1:10" ht="15.75" thickBot="1" x14ac:dyDescent="0.35">
      <c r="A17" s="6">
        <f>SOCIOS!A16</f>
        <v>15</v>
      </c>
      <c r="B17" s="6" t="str">
        <f>SOCIOS!B16</f>
        <v>Brith Zarella Roca Godoy</v>
      </c>
      <c r="C17" s="6"/>
      <c r="D17" s="6">
        <v>1</v>
      </c>
      <c r="E17" s="6"/>
      <c r="F17" s="6"/>
      <c r="G17" s="6"/>
      <c r="H17" s="6"/>
      <c r="I17" s="6"/>
      <c r="J17" s="6"/>
    </row>
    <row r="18" spans="1:10" ht="15.75" thickBot="1" x14ac:dyDescent="0.35">
      <c r="A18" s="6">
        <f>SOCIOS!A17</f>
        <v>16</v>
      </c>
      <c r="B18" s="6" t="str">
        <f>SOCIOS!B17</f>
        <v>Jeferson Mendoza Quispe</v>
      </c>
      <c r="C18" s="6"/>
      <c r="D18" s="6"/>
      <c r="E18" s="6"/>
      <c r="F18" s="6"/>
      <c r="G18" s="6"/>
      <c r="H18" s="6"/>
      <c r="I18" s="6"/>
      <c r="J18" s="6"/>
    </row>
    <row r="19" spans="1:10" ht="15.75" thickBot="1" x14ac:dyDescent="0.35">
      <c r="A19" s="6">
        <f>SOCIOS!A18</f>
        <v>17</v>
      </c>
      <c r="B19" s="6">
        <f>SOCIOS!B18</f>
        <v>0</v>
      </c>
      <c r="C19" s="6"/>
      <c r="D19" s="6"/>
      <c r="E19" s="6"/>
      <c r="F19" s="6"/>
      <c r="G19" s="6"/>
      <c r="H19" s="6"/>
      <c r="I19" s="6"/>
      <c r="J19" s="6"/>
    </row>
    <row r="20" spans="1:10" ht="15.75" thickBot="1" x14ac:dyDescent="0.35">
      <c r="A20" s="6">
        <f>SOCIOS!A19</f>
        <v>18</v>
      </c>
      <c r="B20" s="6">
        <f>SOCIOS!B19</f>
        <v>0</v>
      </c>
      <c r="C20" s="6"/>
      <c r="D20" s="6"/>
      <c r="E20" s="6"/>
      <c r="F20" s="6"/>
      <c r="G20" s="6"/>
      <c r="H20" s="6"/>
      <c r="I20" s="6"/>
      <c r="J20" s="6"/>
    </row>
    <row r="21" spans="1:10" ht="15.75" thickBot="1" x14ac:dyDescent="0.35">
      <c r="A21" s="6">
        <f>SOCIOS!A20</f>
        <v>19</v>
      </c>
      <c r="B21" s="6">
        <f>SOCIOS!B20</f>
        <v>0</v>
      </c>
      <c r="C21" s="6"/>
      <c r="D21" s="6"/>
      <c r="E21" s="6"/>
      <c r="F21" s="6"/>
      <c r="G21" s="6"/>
      <c r="H21" s="6"/>
      <c r="I21" s="6"/>
      <c r="J21" s="6"/>
    </row>
    <row r="22" spans="1:10" ht="15.75" thickBot="1" x14ac:dyDescent="0.35">
      <c r="A22" s="6">
        <f>SOCIOS!A21</f>
        <v>20</v>
      </c>
      <c r="B22" s="6">
        <f>SOCIOS!B21</f>
        <v>0</v>
      </c>
      <c r="C22" s="6"/>
      <c r="D22" s="6"/>
      <c r="E22" s="6"/>
      <c r="F22" s="6"/>
      <c r="G22" s="6"/>
      <c r="H22" s="6"/>
      <c r="I22" s="6"/>
      <c r="J22" s="6"/>
    </row>
    <row r="23" spans="1:10" ht="15.75" thickBot="1" x14ac:dyDescent="0.35">
      <c r="A23" s="6">
        <f>SOCIOS!A22</f>
        <v>21</v>
      </c>
      <c r="B23" s="6">
        <f>SOCIOS!B22</f>
        <v>0</v>
      </c>
      <c r="C23" s="6"/>
      <c r="D23" s="6"/>
      <c r="E23" s="6"/>
      <c r="F23" s="6"/>
      <c r="G23" s="6"/>
      <c r="H23" s="6"/>
      <c r="I23" s="6"/>
      <c r="J23" s="6"/>
    </row>
    <row r="24" spans="1:10" ht="15.75" thickBot="1" x14ac:dyDescent="0.35">
      <c r="A24" s="6">
        <f>SOCIOS!A23</f>
        <v>22</v>
      </c>
      <c r="B24" s="6">
        <f>SOCIOS!B23</f>
        <v>0</v>
      </c>
      <c r="C24" s="6"/>
      <c r="D24" s="6"/>
      <c r="E24" s="6"/>
      <c r="F24" s="6"/>
      <c r="G24" s="6"/>
      <c r="H24" s="6"/>
      <c r="I24" s="6"/>
      <c r="J24" s="6"/>
    </row>
    <row r="25" spans="1:10" ht="15.75" thickBot="1" x14ac:dyDescent="0.35">
      <c r="A25" s="6">
        <f>SOCIOS!A24</f>
        <v>23</v>
      </c>
      <c r="B25" s="6">
        <f>SOCIOS!B24</f>
        <v>0</v>
      </c>
      <c r="C25" s="6"/>
      <c r="D25" s="6"/>
      <c r="E25" s="6"/>
      <c r="F25" s="6"/>
      <c r="G25" s="6"/>
      <c r="H25" s="6"/>
      <c r="I25" s="6"/>
      <c r="J25" s="6"/>
    </row>
    <row r="26" spans="1:10" x14ac:dyDescent="0.3">
      <c r="D26" s="2">
        <f>SUM(D3:D25)</f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SOCIOS</vt:lpstr>
      <vt:lpstr>RESUMEN </vt:lpstr>
      <vt:lpstr>APORTES 2026</vt:lpstr>
      <vt:lpstr>APORTES 2025</vt:lpstr>
      <vt:lpstr>REUNIONES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2026-03-14T22:11:59Z</dcterms:created>
  <dcterms:modified xsi:type="dcterms:W3CDTF">2026-08-03T22:38:49Z</dcterms:modified>
</cp:coreProperties>
</file>